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_of_content" sheetId="1" state="visible" r:id="rId1"/>
    <sheet name="access" sheetId="2" state="visible" r:id="rId2"/>
    <sheet name="overaged" sheetId="3" state="visible" r:id="rId3"/>
    <sheet name="out_of_school" sheetId="4" state="visible" r:id="rId4"/>
    <sheet name="ece" sheetId="5" state="visible" r:id="rId5"/>
    <sheet name="level1" sheetId="6" state="visible" r:id="rId6"/>
    <sheet name="level2" sheetId="7" state="visible" r:id="rId7"/>
    <sheet name="level3" sheetId="8" state="visible" r:id="rId8"/>
  </sheets>
</workbook>
</file>

<file path=xl/sharedStrings.xml><?xml version="1.0" encoding="utf-8"?>
<sst xmlns="http://schemas.openxmlformats.org/spreadsheetml/2006/main" count="176" uniqueCount="176">
  <si>
    <t xml:space="preserve">Table of Content</t>
  </si>
  <si>
    <t xml:space="preserve">Analyse des enfants accédant à l'éducation</t>
  </si>
  <si>
    <t xml:space="preserve">Ensemble</t>
  </si>
  <si>
    <t xml:space="preserve">Filles</t>
  </si>
  <si>
    <t xml:space="preserve">Garcons</t>
  </si>
  <si>
    <t xml:space="preserve">Interruption</t>
  </si>
  <si>
    <t xml:space="preserve">% d'enfants en âge scolaire dont l'éducation a été interrompue en raison de l'absence d'enseignants</t>
  </si>
  <si>
    <t xml:space="preserve">% d'enfants en âge scolaire dont l'éducation a été interrompue par des risques naturels</t>
  </si>
  <si>
    <t xml:space="preserve">% d'enfants en âge scolaire dont l'école a été occupée par des déplacés</t>
  </si>
  <si>
    <t xml:space="preserve">% d'enfants d'âge scolaire dont l'éducation a été interrompue par l'occupation de l'école par les forces armées</t>
  </si>
  <si>
    <t xml:space="preserve">Accès</t>
  </si>
  <si>
    <t xml:space="preserve">label_group_var</t>
  </si>
  <si>
    <t xml:space="preserve">label_group_var_value</t>
  </si>
  <si>
    <t xml:space="preserve">stat</t>
  </si>
  <si>
    <t xml:space="preserve">n_total</t>
  </si>
  <si>
    <t xml:space="preserve"/>
  </si>
  <si>
    <t xml:space="preserve">Cycle Scolaire Assigné par Âge</t>
  </si>
  <si>
    <t xml:space="preserve">prescolaire – 5 ans</t>
  </si>
  <si>
    <t xml:space="preserve">enseignement fondamental – 6 jusqu'à 11 ans</t>
  </si>
  <si>
    <t xml:space="preserve">3eme cycle du fondamental – 12 jusqu'à 14 ans</t>
  </si>
  <si>
    <t xml:space="preserve">Nouveau Secondaire – 15 jusqu'à 18 ans</t>
  </si>
  <si>
    <t xml:space="preserve">Vivez-vous dans une zone rurale, urbaine ou périurbaine, ou dans un camp/site ?</t>
  </si>
  <si>
    <t xml:space="preserve">Camp ou site formel ou non formel</t>
  </si>
  <si>
    <t xml:space="preserve">Rurale</t>
  </si>
  <si>
    <t xml:space="preserve">Urbain ou périurbain</t>
  </si>
  <si>
    <t xml:space="preserve">Dans quel département le ménage vit-il ?</t>
  </si>
  <si>
    <t xml:space="preserve">Ouest</t>
  </si>
  <si>
    <t xml:space="preserve">Sud-Est</t>
  </si>
  <si>
    <t xml:space="preserve">Nord</t>
  </si>
  <si>
    <t xml:space="preserve">Nord-Est</t>
  </si>
  <si>
    <t xml:space="preserve">Artibonite</t>
  </si>
  <si>
    <t xml:space="preserve">Centre</t>
  </si>
  <si>
    <t xml:space="preserve">Sud</t>
  </si>
  <si>
    <t xml:space="preserve">Grande'Anse</t>
  </si>
  <si>
    <t xml:space="preserve">Nord-Ouest</t>
  </si>
  <si>
    <t xml:space="preserve">Nippes</t>
  </si>
  <si>
    <t xml:space="preserve">stratum_id</t>
  </si>
  <si>
    <t xml:space="preserve">Artibonite-Rural</t>
  </si>
  <si>
    <t xml:space="preserve">Artibonite-Urbain</t>
  </si>
  <si>
    <t xml:space="preserve">Centre-Rural</t>
  </si>
  <si>
    <t xml:space="preserve">Centre-Urbain</t>
  </si>
  <si>
    <t xml:space="preserve">Grande'Anse-Rural</t>
  </si>
  <si>
    <t xml:space="preserve">Grande'Anse-Urbain</t>
  </si>
  <si>
    <t xml:space="preserve">Nippes-Rural</t>
  </si>
  <si>
    <t xml:space="preserve">Nippes-Urbain</t>
  </si>
  <si>
    <t xml:space="preserve">Nord-Est-Rural</t>
  </si>
  <si>
    <t xml:space="preserve">Nord-Est-Urbain</t>
  </si>
  <si>
    <t xml:space="preserve">Nord-Ouest-Rural</t>
  </si>
  <si>
    <t xml:space="preserve">Nord-Ouest-Urbain</t>
  </si>
  <si>
    <t xml:space="preserve">Nord-Rural</t>
  </si>
  <si>
    <t xml:space="preserve">Nord-Urbain</t>
  </si>
  <si>
    <t xml:space="preserve">Ouest-Rural</t>
  </si>
  <si>
    <t xml:space="preserve">Ouest-Urbain</t>
  </si>
  <si>
    <t xml:space="preserve">Sud-Est-Rural</t>
  </si>
  <si>
    <t xml:space="preserve">Sud-Est-Urbain</t>
  </si>
  <si>
    <t xml:space="preserve">Sud-Rural</t>
  </si>
  <si>
    <t xml:space="preserve">Sud-Urbain</t>
  </si>
  <si>
    <t xml:space="preserve">De quelles sources votre ménage a-t-il reçu des revenus au cours des 30 derniers jours ?</t>
  </si>
  <si>
    <t xml:space="preserve">assistance support_friends</t>
  </si>
  <si>
    <t xml:space="preserve">2. Travail occasionnel ou journalier</t>
  </si>
  <si>
    <t xml:space="preserve">casual assistance</t>
  </si>
  <si>
    <t xml:space="preserve">casual donation</t>
  </si>
  <si>
    <t xml:space="preserve">casual other</t>
  </si>
  <si>
    <t xml:space="preserve">casual own_business</t>
  </si>
  <si>
    <t xml:space="preserve">casual own_business own_production</t>
  </si>
  <si>
    <t xml:space="preserve">casual own_business remittances</t>
  </si>
  <si>
    <t xml:space="preserve">casual own_business support_friends</t>
  </si>
  <si>
    <t xml:space="preserve">casual own_production</t>
  </si>
  <si>
    <t xml:space="preserve">casual own_production own_business</t>
  </si>
  <si>
    <t xml:space="preserve">casual own_production remittances</t>
  </si>
  <si>
    <t xml:space="preserve">casual own_production salaried</t>
  </si>
  <si>
    <t xml:space="preserve">casual own_production support_friends</t>
  </si>
  <si>
    <t xml:space="preserve">casual remittances</t>
  </si>
  <si>
    <t xml:space="preserve">casual remittances donation</t>
  </si>
  <si>
    <t xml:space="preserve">casual remittances own_business</t>
  </si>
  <si>
    <t xml:space="preserve">casual remittances support_friends</t>
  </si>
  <si>
    <t xml:space="preserve">casual salaried</t>
  </si>
  <si>
    <t xml:space="preserve">casual social_benefits</t>
  </si>
  <si>
    <t xml:space="preserve">casual support_friends</t>
  </si>
  <si>
    <t xml:space="preserve">casual support_friends donation</t>
  </si>
  <si>
    <t xml:space="preserve">casual support_friends salaried</t>
  </si>
  <si>
    <t xml:space="preserve">13. Ne sait pas</t>
  </si>
  <si>
    <t xml:space="preserve">10. Prêts, soutien ou dons de charité de membres de la communauté (à l'exclusion de l'aide humanitaire)</t>
  </si>
  <si>
    <t xml:space="preserve">donation own_business</t>
  </si>
  <si>
    <t xml:space="preserve">donation own_production</t>
  </si>
  <si>
    <t xml:space="preserve">donation support_friends</t>
  </si>
  <si>
    <t xml:space="preserve">12. Mon ménage n'a reçu aucun revenu monétaire au cours des 30 derniers jours</t>
  </si>
  <si>
    <t xml:space="preserve">11. Autre (préciser)</t>
  </si>
  <si>
    <t xml:space="preserve">other remittances</t>
  </si>
  <si>
    <t xml:space="preserve">3. Revenus de son propre entreprise ou commerce régulier</t>
  </si>
  <si>
    <t xml:space="preserve">own_business casual</t>
  </si>
  <si>
    <t xml:space="preserve">own_business casual own_production</t>
  </si>
  <si>
    <t xml:space="preserve">own_business casual remittances</t>
  </si>
  <si>
    <t xml:space="preserve">own_business casual support_friends</t>
  </si>
  <si>
    <t xml:space="preserve">own_business donation</t>
  </si>
  <si>
    <t xml:space="preserve">own_business other</t>
  </si>
  <si>
    <t xml:space="preserve">own_business own_production</t>
  </si>
  <si>
    <t xml:space="preserve">own_business own_production remittances</t>
  </si>
  <si>
    <t xml:space="preserve">own_business own_production support_friends</t>
  </si>
  <si>
    <t xml:space="preserve">own_business own_production support_friends casual</t>
  </si>
  <si>
    <t xml:space="preserve">own_business remittances</t>
  </si>
  <si>
    <t xml:space="preserve">own_business remittances casual</t>
  </si>
  <si>
    <t xml:space="preserve">own_business remittances donation</t>
  </si>
  <si>
    <t xml:space="preserve">own_business remittances support_friends</t>
  </si>
  <si>
    <t xml:space="preserve">own_business salaried</t>
  </si>
  <si>
    <t xml:space="preserve">own_business salaried remittances</t>
  </si>
  <si>
    <t xml:space="preserve">own_business support_friends</t>
  </si>
  <si>
    <t xml:space="preserve">own_business support_friends own_production</t>
  </si>
  <si>
    <t xml:space="preserve">own_business support_friends salaried</t>
  </si>
  <si>
    <t xml:space="preserve">4. Revenus de sa propre production (agriculture, élevage, pêche, transformation alimentaire, fabrication à domicile, etc.)</t>
  </si>
  <si>
    <t xml:space="preserve">own_production casual</t>
  </si>
  <si>
    <t xml:space="preserve">own_production casual own_business</t>
  </si>
  <si>
    <t xml:space="preserve">own_production donation</t>
  </si>
  <si>
    <t xml:space="preserve">own_production other</t>
  </si>
  <si>
    <t xml:space="preserve">own_production own_business</t>
  </si>
  <si>
    <t xml:space="preserve">own_production own_business casual</t>
  </si>
  <si>
    <t xml:space="preserve">own_production remittances</t>
  </si>
  <si>
    <t xml:space="preserve">own_production remittances casual</t>
  </si>
  <si>
    <t xml:space="preserve">own_production salaried</t>
  </si>
  <si>
    <t xml:space="preserve">own_production support_friends</t>
  </si>
  <si>
    <t xml:space="preserve">own_production support_friends casual</t>
  </si>
  <si>
    <t xml:space="preserve">14. Préfère ne pas répondre</t>
  </si>
  <si>
    <t xml:space="preserve">7. Envois de transferts d'argent (de la diaspora / de l'étranger)</t>
  </si>
  <si>
    <t xml:space="preserve">remittances casual</t>
  </si>
  <si>
    <t xml:space="preserve">remittances casual support_friends</t>
  </si>
  <si>
    <t xml:space="preserve">remittances own_business</t>
  </si>
  <si>
    <t xml:space="preserve">remittances own_production</t>
  </si>
  <si>
    <t xml:space="preserve">remittances own_production casual</t>
  </si>
  <si>
    <t xml:space="preserve">remittances support_friends</t>
  </si>
  <si>
    <t xml:space="preserve">6. Revenus issus de la location</t>
  </si>
  <si>
    <t xml:space="preserve">1. Travail salarié</t>
  </si>
  <si>
    <t xml:space="preserve">salaried casual</t>
  </si>
  <si>
    <t xml:space="preserve">salaried casual own_business</t>
  </si>
  <si>
    <t xml:space="preserve">salaried donation</t>
  </si>
  <si>
    <t xml:space="preserve">salaried other</t>
  </si>
  <si>
    <t xml:space="preserve">salaried own_business</t>
  </si>
  <si>
    <t xml:space="preserve">salaried own_business remittances</t>
  </si>
  <si>
    <t xml:space="preserve">salaried own_business remittances support_friends</t>
  </si>
  <si>
    <t xml:space="preserve">salaried own_business support_friends</t>
  </si>
  <si>
    <t xml:space="preserve">salaried own_production</t>
  </si>
  <si>
    <t xml:space="preserve">salaried own_production donation</t>
  </si>
  <si>
    <t xml:space="preserve">salaried own_production support_friends</t>
  </si>
  <si>
    <t xml:space="preserve">salaried remittances</t>
  </si>
  <si>
    <t xml:space="preserve">salaried remittances support_friends</t>
  </si>
  <si>
    <t xml:space="preserve">salaried support_friends</t>
  </si>
  <si>
    <t xml:space="preserve">9. Prêts ou soutien de la famille et des amis (à l'exclusion des envois de fonds)</t>
  </si>
  <si>
    <t xml:space="preserve">support_friends casual</t>
  </si>
  <si>
    <t xml:space="preserve">support_friends casual own_business</t>
  </si>
  <si>
    <t xml:space="preserve">support_friends other</t>
  </si>
  <si>
    <t xml:space="preserve">support_friends own_business</t>
  </si>
  <si>
    <t xml:space="preserve">support_friends own_production</t>
  </si>
  <si>
    <t xml:space="preserve">support_friends remittances</t>
  </si>
  <si>
    <t xml:space="preserve">support_friends salaried</t>
  </si>
  <si>
    <t xml:space="preserve">Analyse des élèves en retard scolaire</t>
  </si>
  <si>
    <t xml:space="preserve">Retard scolaire</t>
  </si>
  <si>
    <t xml:space="preserve">% d'enfants avec 2 ans de plus que l'âge prévu : primaire</t>
  </si>
  <si>
    <t xml:space="preserve">% d'enfants avec 2 ans de plus que l'âge prévu : secondaire</t>
  </si>
  <si>
    <t xml:space="preserve">Analyse des enfants n'ayant pas accès à l'éducation, OoS</t>
  </si>
  <si>
    <t xml:space="preserve">Barrières</t>
  </si>
  <si>
    <t xml:space="preserve">Mariage, fiançailles et/ou grossesse</t>
  </si>
  <si>
    <t xml:space="preserve">Manque d'intérêt / L'éducation n'est pas une priorité pour l'enfant ou le ménage</t>
  </si>
  <si>
    <t xml:space="preserve">Autre</t>
  </si>
  <si>
    <t xml:space="preserve">Non-scolarisation</t>
  </si>
  <si>
    <t xml:space="preserve">assistance other</t>
  </si>
  <si>
    <t xml:space="preserve">donation other</t>
  </si>
  <si>
    <t xml:space="preserve">other casual</t>
  </si>
  <si>
    <t xml:space="preserve">éducation pré-primaire</t>
  </si>
  <si>
    <t xml:space="preserve">Profil de fréquentation scolaire</t>
  </si>
  <si>
    <t xml:space="preserve">% d'enfants un an avant l'âge d'entrée à l'école primaire fréquentant un programme d'éducation préscolaire ou l'école primaire</t>
  </si>
  <si>
    <t xml:space="preserve">% d'enfants un an avant l'âge d'entrée à l'école primaire fréquentant l'école primaire</t>
  </si>
  <si>
    <t xml:space="preserve">Profil de fréquentation scolaire: primaire</t>
  </si>
  <si>
    <t xml:space="preserve">% d'enfants en âge de fréquenter l'école primaire ou plus</t>
  </si>
  <si>
    <t xml:space="preserve">Profil de fréquentation scolaire: niveau intermédiaire -- secondaire</t>
  </si>
  <si>
    <t xml:space="preserve">% d'enfants en âge de niveau intermédiaire actuellement scolarisés au niveau intermédiaire ou plus</t>
  </si>
  <si>
    <t xml:space="preserve">Profil de fréquentation scolaire: secondaire</t>
  </si>
  <si>
    <t xml:space="preserve">% d'enfants en âge de secondaire actuellement scolarisés au secondaire ou 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</si>
</sst>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6" formatCode="0%"/>
    <numFmt numFmtId="167" formatCode="0%"/>
    <numFmt numFmtId="168" formatCode="0%"/>
    <numFmt numFmtId="169" formatCode="0%"/>
    <numFmt numFmtId="170" formatCode="0%"/>
    <numFmt numFmtId="171" formatCode="0%"/>
    <numFmt numFmtId="172" formatCode="0%"/>
  </numFmts>
  <fonts count="3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</border>
    <border>
      <left style="thin">
        <color rgb="FFD3D3D3"/>
      </left>
      <top style="thin">
        <color rgb="FFD3D3D3"/>
      </top>
      <bottom style="thin">
        <color rgb="FFD3D3D3"/>
      </bottom>
    </border>
    <border>
      <top style="thin">
        <color rgb="FFD3D3D3"/>
      </top>
      <bottom style="thin">
        <color rgb="FFD3D3D3"/>
      </bottom>
    </border>
    <border>
      <right style="thin">
        <color rgb="FFD3D3D3"/>
      </right>
      <top style="thin">
        <color rgb="FFD3D3D3"/>
      </top>
      <bottom style="thin">
        <color rgb="FFD3D3D3"/>
      </bottom>
    </border>
    <border>
      <left style="thin">
        <color rgb="FFD3D3D3"/>
      </left>
      <top style="thin">
        <color rgb="FFD3D3D3"/>
      </top>
    </border>
    <border>
      <left style="thin">
        <color rgb="FFD3D3D3"/>
      </left>
    </border>
    <border>
      <left style="thin">
        <color rgb="FFD3D3D3"/>
      </left>
      <bottom style="thin">
        <color rgb="FFD3D3D3"/>
      </bottom>
    </border>
    <border>
      <top style="thin">
        <color rgb="FFD3D3D3"/>
      </top>
    </border>
    <border>
      <bottom style="thin">
        <color rgb="FFD3D3D3"/>
      </bottom>
    </border>
    <border>
      <right style="thin">
        <color rgb="FFD3D3D3"/>
      </right>
      <top style="thin">
        <color rgb="FFD3D3D3"/>
      </top>
    </border>
    <border>
      <right style="thin">
        <color rgb="FFD3D3D3"/>
      </right>
    </border>
    <border>
      <right style="thin">
        <color rgb="FFD3D3D3"/>
      </right>
      <bottom style="thin">
        <color rgb="FFD3D3D3"/>
      </bottom>
    </border>
  </borders>
  <cellStyleXfs count="1">
    <xf numFmtId="0" fontId="0" fillId="0" borderId="0"/>
  </cellStyleXfs>
  <cellXfs count="50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166" fontId="1" fillId="0" borderId="1" xfId="0" applyFont="1" applyNumberFormat="1" applyBorder="1"/>
    <xf numFmtId="166" fontId="1" fillId="0" borderId="3" xfId="0" applyFont="1" applyNumberFormat="1" applyBorder="1"/>
    <xf numFmtId="166" fontId="1" fillId="0" borderId="8" xfId="0" applyFont="1" applyNumberFormat="1" applyBorder="1"/>
    <xf numFmtId="166" fontId="1" fillId="0" borderId="9" xfId="0" applyFont="1" applyNumberFormat="1" applyBorder="1"/>
    <xf numFmtId="166" fontId="1" fillId="0" borderId="0" xfId="0" applyFont="1" applyNumberFormat="1"/>
    <xf numFmtId="0" fontId="2" fillId="0" borderId="0" xfId="0" applyFont="1"/>
    <xf numFmtId="167" fontId="1" fillId="0" borderId="1" xfId="0" applyFont="1" applyNumberFormat="1" applyBorder="1"/>
    <xf numFmtId="167" fontId="1" fillId="0" borderId="3" xfId="0" applyFont="1" applyNumberFormat="1" applyBorder="1"/>
    <xf numFmtId="167" fontId="1" fillId="0" borderId="8" xfId="0" applyFont="1" applyNumberFormat="1" applyBorder="1"/>
    <xf numFmtId="167" fontId="1" fillId="0" borderId="9" xfId="0" applyFont="1" applyNumberFormat="1" applyBorder="1"/>
    <xf numFmtId="167" fontId="1" fillId="0" borderId="0" xfId="0" applyFont="1" applyNumberFormat="1"/>
    <xf numFmtId="168" fontId="1" fillId="0" borderId="1" xfId="0" applyFont="1" applyNumberFormat="1" applyBorder="1"/>
    <xf numFmtId="168" fontId="1" fillId="0" borderId="3" xfId="0" applyFont="1" applyNumberFormat="1" applyBorder="1"/>
    <xf numFmtId="168" fontId="1" fillId="0" borderId="8" xfId="0" applyFont="1" applyNumberFormat="1" applyBorder="1"/>
    <xf numFmtId="168" fontId="1" fillId="0" borderId="9" xfId="0" applyFont="1" applyNumberFormat="1" applyBorder="1"/>
    <xf numFmtId="168" fontId="1" fillId="0" borderId="0" xfId="0" applyFont="1" applyNumberFormat="1"/>
    <xf numFmtId="169" fontId="1" fillId="0" borderId="1" xfId="0" applyFont="1" applyNumberFormat="1" applyBorder="1"/>
    <xf numFmtId="169" fontId="1" fillId="0" borderId="3" xfId="0" applyFont="1" applyNumberFormat="1" applyBorder="1"/>
    <xf numFmtId="169" fontId="1" fillId="0" borderId="8" xfId="0" applyFont="1" applyNumberFormat="1" applyBorder="1"/>
    <xf numFmtId="169" fontId="1" fillId="0" borderId="9" xfId="0" applyFont="1" applyNumberFormat="1" applyBorder="1"/>
    <xf numFmtId="169" fontId="1" fillId="0" borderId="0" xfId="0" applyFont="1" applyNumberFormat="1"/>
    <xf numFmtId="170" fontId="1" fillId="0" borderId="1" xfId="0" applyFont="1" applyNumberFormat="1" applyBorder="1"/>
    <xf numFmtId="170" fontId="1" fillId="0" borderId="3" xfId="0" applyFont="1" applyNumberFormat="1" applyBorder="1"/>
    <xf numFmtId="170" fontId="1" fillId="0" borderId="8" xfId="0" applyFont="1" applyNumberFormat="1" applyBorder="1"/>
    <xf numFmtId="170" fontId="1" fillId="0" borderId="9" xfId="0" applyFont="1" applyNumberFormat="1" applyBorder="1"/>
    <xf numFmtId="170" fontId="1" fillId="0" borderId="0" xfId="0" applyFont="1" applyNumberFormat="1"/>
    <xf numFmtId="171" fontId="1" fillId="0" borderId="1" xfId="0" applyFont="1" applyNumberFormat="1" applyBorder="1"/>
    <xf numFmtId="171" fontId="1" fillId="0" borderId="3" xfId="0" applyFont="1" applyNumberFormat="1" applyBorder="1"/>
    <xf numFmtId="171" fontId="1" fillId="0" borderId="8" xfId="0" applyFont="1" applyNumberFormat="1" applyBorder="1"/>
    <xf numFmtId="171" fontId="1" fillId="0" borderId="9" xfId="0" applyFont="1" applyNumberFormat="1" applyBorder="1"/>
    <xf numFmtId="171" fontId="1" fillId="0" borderId="0" xfId="0" applyFont="1" applyNumberFormat="1"/>
    <xf numFmtId="172" fontId="1" fillId="0" borderId="1" xfId="0" applyFont="1" applyNumberFormat="1" applyBorder="1"/>
    <xf numFmtId="172" fontId="1" fillId="0" borderId="3" xfId="0" applyFont="1" applyNumberFormat="1" applyBorder="1"/>
    <xf numFmtId="172" fontId="1" fillId="0" borderId="8" xfId="0" applyFont="1" applyNumberFormat="1" applyBorder="1"/>
    <xf numFmtId="172" fontId="1" fillId="0" borderId="9" xfId="0" applyFont="1" applyNumberFormat="1" applyBorder="1"/>
    <xf numFmtId="172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</row>
    <row r="2">
      <c r="A2" s="19" t="str">
        <f>=HYPERLINK("#'access'!A1", "Analyse des enfants accédant à l'éducation")</f>
      </c>
    </row>
    <row r="3">
      <c r="A3" s="19" t="str">
        <f>=HYPERLINK("#'overaged'!A1", "Analyse des élèves en retard scolaire")</f>
      </c>
    </row>
    <row r="4">
      <c r="A4" s="19" t="str">
        <f>=HYPERLINK("#'out_of_school'!A1", "Analyse des enfants n'ayant pas accès à l'éducation, OoS")</f>
      </c>
    </row>
    <row r="5">
      <c r="A5" s="19" t="str">
        <f>=HYPERLINK("#'ece'!A1", "éducation pré-primaire")</f>
      </c>
    </row>
    <row r="6">
      <c r="A6" s="19" t="str">
        <f>=HYPERLINK("#'level1'!A1", "Profil de fréquentation scolaire: primaire")</f>
      </c>
    </row>
    <row r="7">
      <c r="A7" s="19" t="str">
        <f>=HYPERLINK("#'level2'!A1", "Profil de fréquentation scolaire: niveau intermédiaire -- secondaire")</f>
      </c>
    </row>
    <row r="8">
      <c r="A8" s="19" t="str">
        <f>=HYPERLINK("#'level3'!A1", "Profil de fréquentation scolaire: secondaire")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 outlineLevelRow="1"/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>
      <c r="C2" s="2" t="s">
        <v>2</v>
      </c>
      <c r="D2" s="2"/>
      <c r="E2" s="2"/>
      <c r="F2" s="2"/>
      <c r="G2" s="2"/>
      <c r="H2" s="2"/>
      <c r="I2" s="2"/>
      <c r="J2" s="2"/>
      <c r="K2" s="2"/>
      <c r="L2" s="2"/>
      <c r="M2" s="2" t="s">
        <v>3</v>
      </c>
      <c r="N2" s="2"/>
      <c r="O2" s="2"/>
      <c r="P2" s="2"/>
      <c r="Q2" s="2"/>
      <c r="R2" s="2"/>
      <c r="S2" s="2"/>
      <c r="T2" s="2"/>
      <c r="U2" s="2"/>
      <c r="V2" s="2"/>
      <c r="W2" s="2" t="s">
        <v>4</v>
      </c>
      <c r="X2" s="2"/>
      <c r="Y2" s="2"/>
      <c r="Z2" s="2"/>
      <c r="AA2" s="2"/>
      <c r="AB2" s="2"/>
      <c r="AC2" s="2"/>
      <c r="AD2" s="2"/>
      <c r="AE2" s="2"/>
      <c r="AF2" s="2"/>
    </row>
    <row r="3">
      <c r="E3" s="2" t="s">
        <v>5</v>
      </c>
      <c r="F3" s="2"/>
      <c r="G3" s="2"/>
      <c r="H3" s="2"/>
      <c r="I3" s="2"/>
      <c r="J3" s="2"/>
      <c r="K3" s="2"/>
      <c r="L3" s="2"/>
      <c r="O3" s="2" t="s">
        <v>5</v>
      </c>
      <c r="P3" s="2"/>
      <c r="Q3" s="2"/>
      <c r="R3" s="2"/>
      <c r="S3" s="2"/>
      <c r="T3" s="2"/>
      <c r="U3" s="2"/>
      <c r="V3" s="2"/>
      <c r="Y3" s="2" t="s">
        <v>5</v>
      </c>
      <c r="Z3" s="2"/>
      <c r="AA3" s="2"/>
      <c r="AB3" s="2"/>
      <c r="AC3" s="2"/>
      <c r="AD3" s="2"/>
      <c r="AE3" s="2"/>
      <c r="AF3" s="2"/>
    </row>
    <row r="4">
      <c r="C4" s="2" t="s">
        <v>10</v>
      </c>
      <c r="D4" s="2"/>
      <c r="E4" s="2" t="s">
        <v>6</v>
      </c>
      <c r="F4" s="2"/>
      <c r="G4" s="2" t="s">
        <v>7</v>
      </c>
      <c r="H4" s="2"/>
      <c r="I4" s="2" t="s">
        <v>8</v>
      </c>
      <c r="J4" s="2"/>
      <c r="K4" s="2" t="s">
        <v>9</v>
      </c>
      <c r="L4" s="2"/>
      <c r="M4" s="2" t="s">
        <v>10</v>
      </c>
      <c r="N4" s="2"/>
      <c r="O4" s="2" t="s">
        <v>6</v>
      </c>
      <c r="P4" s="2"/>
      <c r="Q4" s="2" t="s">
        <v>7</v>
      </c>
      <c r="R4" s="2"/>
      <c r="S4" s="2" t="s">
        <v>8</v>
      </c>
      <c r="T4" s="2"/>
      <c r="U4" s="2" t="s">
        <v>9</v>
      </c>
      <c r="V4" s="2"/>
      <c r="W4" s="2" t="s">
        <v>10</v>
      </c>
      <c r="X4" s="2"/>
      <c r="Y4" s="2" t="s">
        <v>6</v>
      </c>
      <c r="Z4" s="2"/>
      <c r="AA4" s="2" t="s">
        <v>7</v>
      </c>
      <c r="AB4" s="2"/>
      <c r="AC4" s="2" t="s">
        <v>8</v>
      </c>
      <c r="AD4" s="2"/>
      <c r="AE4" s="2" t="s">
        <v>9</v>
      </c>
      <c r="AF4" s="2"/>
    </row>
    <row r="5">
      <c r="A5" s="2" t="s">
        <v>11</v>
      </c>
      <c r="B5" s="2" t="s">
        <v>12</v>
      </c>
      <c r="C5" s="2" t="s">
        <v>13</v>
      </c>
      <c r="D5" s="2" t="s">
        <v>14</v>
      </c>
      <c r="E5" s="2" t="s">
        <v>13</v>
      </c>
      <c r="F5" s="2" t="s">
        <v>14</v>
      </c>
      <c r="G5" s="2" t="s">
        <v>13</v>
      </c>
      <c r="H5" s="2" t="s">
        <v>14</v>
      </c>
      <c r="I5" s="2" t="s">
        <v>13</v>
      </c>
      <c r="J5" s="2" t="s">
        <v>14</v>
      </c>
      <c r="K5" s="2" t="s">
        <v>13</v>
      </c>
      <c r="L5" s="2" t="s">
        <v>14</v>
      </c>
      <c r="M5" s="2" t="s">
        <v>13</v>
      </c>
      <c r="N5" s="2" t="s">
        <v>14</v>
      </c>
      <c r="O5" s="2" t="s">
        <v>13</v>
      </c>
      <c r="P5" s="2" t="s">
        <v>14</v>
      </c>
      <c r="Q5" s="2" t="s">
        <v>13</v>
      </c>
      <c r="R5" s="2" t="s">
        <v>14</v>
      </c>
      <c r="S5" s="2" t="s">
        <v>13</v>
      </c>
      <c r="T5" s="2" t="s">
        <v>14</v>
      </c>
      <c r="U5" s="2" t="s">
        <v>13</v>
      </c>
      <c r="V5" s="2" t="s">
        <v>14</v>
      </c>
      <c r="W5" s="2" t="s">
        <v>13</v>
      </c>
      <c r="X5" s="2" t="s">
        <v>14</v>
      </c>
      <c r="Y5" s="2" t="s">
        <v>13</v>
      </c>
      <c r="Z5" s="2" t="s">
        <v>14</v>
      </c>
      <c r="AA5" s="2" t="s">
        <v>13</v>
      </c>
      <c r="AB5" s="2" t="s">
        <v>14</v>
      </c>
      <c r="AC5" s="2" t="s">
        <v>13</v>
      </c>
      <c r="AD5" s="2" t="s">
        <v>14</v>
      </c>
      <c r="AE5" s="2" t="s">
        <v>13</v>
      </c>
      <c r="AF5" s="2" t="s">
        <v>14</v>
      </c>
    </row>
    <row r="6">
      <c r="A6" s="2" t="s">
        <v>2</v>
      </c>
      <c r="B6" s="2"/>
      <c r="C6" s="14"/>
      <c r="D6" s="2"/>
      <c r="E6" s="14"/>
      <c r="F6" s="2"/>
      <c r="G6" s="14"/>
      <c r="H6" s="2"/>
      <c r="I6" s="14"/>
      <c r="J6" s="2"/>
      <c r="K6" s="14"/>
      <c r="L6" s="2"/>
      <c r="M6" s="14"/>
      <c r="N6" s="2"/>
      <c r="O6" s="14"/>
      <c r="P6" s="2"/>
      <c r="Q6" s="14"/>
      <c r="R6" s="2"/>
      <c r="S6" s="14"/>
      <c r="T6" s="2"/>
      <c r="U6" s="14"/>
      <c r="V6" s="2"/>
      <c r="W6" s="14"/>
      <c r="X6" s="2"/>
      <c r="Y6" s="14"/>
      <c r="Z6" s="2"/>
      <c r="AA6" s="14"/>
      <c r="AB6" s="2"/>
      <c r="AC6" s="14"/>
      <c r="AD6" s="2"/>
      <c r="AE6" s="14"/>
      <c r="AF6" s="2"/>
    </row>
    <row r="7" outlineLevel="1" hidden="0">
      <c r="A7" s="3" t="s">
        <v>15</v>
      </c>
      <c r="B7" s="4" t="s">
        <v>2</v>
      </c>
      <c r="C7" s="15" t="n">
        <v>0.832066018643896</v>
      </c>
      <c r="D7" s="4" t="n">
        <v>4269</v>
      </c>
      <c r="E7" s="15" t="n">
        <v>0.272067543573779</v>
      </c>
      <c r="F7" s="4" t="n">
        <v>3476</v>
      </c>
      <c r="G7" s="15" t="n">
        <v>0.115115791172015</v>
      </c>
      <c r="H7" s="4" t="n">
        <v>3551</v>
      </c>
      <c r="I7" s="15" t="n">
        <v>0.0458898084451742</v>
      </c>
      <c r="J7" s="4" t="n">
        <v>3442</v>
      </c>
      <c r="K7" s="15" t="n">
        <v>0.0626086641466762</v>
      </c>
      <c r="L7" s="4" t="n">
        <v>3436</v>
      </c>
      <c r="M7" s="15" t="n">
        <v>0.850328339952824</v>
      </c>
      <c r="N7" s="4" t="n">
        <v>2193</v>
      </c>
      <c r="O7" s="15" t="n">
        <v>0.285999830568936</v>
      </c>
      <c r="P7" s="4" t="n">
        <v>1804</v>
      </c>
      <c r="Q7" s="15" t="n">
        <v>0.11428321114075</v>
      </c>
      <c r="R7" s="4" t="n">
        <v>1849</v>
      </c>
      <c r="S7" s="15" t="n">
        <v>0.0504439885129944</v>
      </c>
      <c r="T7" s="4" t="n">
        <v>1791</v>
      </c>
      <c r="U7" s="15" t="n">
        <v>0.0622694463255626</v>
      </c>
      <c r="V7" s="4" t="n">
        <v>1779</v>
      </c>
      <c r="W7" s="15" t="n">
        <v>0.813131685634679</v>
      </c>
      <c r="X7" s="4" t="n">
        <v>2076</v>
      </c>
      <c r="Y7" s="15" t="n">
        <v>0.257047256971669</v>
      </c>
      <c r="Z7" s="4" t="n">
        <v>1672</v>
      </c>
      <c r="AA7" s="15" t="n">
        <v>0.11601828019465</v>
      </c>
      <c r="AB7" s="4" t="n">
        <v>1702</v>
      </c>
      <c r="AC7" s="15" t="n">
        <v>0.0409792817915766</v>
      </c>
      <c r="AD7" s="4" t="n">
        <v>1651</v>
      </c>
      <c r="AE7" s="15" t="n">
        <v>0.0629706157495538</v>
      </c>
      <c r="AF7" s="5" t="n">
        <v>1657</v>
      </c>
    </row>
    <row r="8">
      <c r="C8" s="18"/>
      <c r="E8" s="18"/>
      <c r="G8" s="18"/>
      <c r="I8" s="18"/>
      <c r="K8" s="18"/>
      <c r="M8" s="18"/>
      <c r="O8" s="18"/>
      <c r="Q8" s="18"/>
      <c r="S8" s="18"/>
      <c r="U8" s="18"/>
      <c r="W8" s="18"/>
      <c r="Y8" s="18"/>
      <c r="AA8" s="18"/>
      <c r="AC8" s="18"/>
      <c r="AE8" s="18"/>
    </row>
    <row r="9">
      <c r="A9" s="2" t="s">
        <v>16</v>
      </c>
      <c r="B9" s="2"/>
      <c r="C9" s="14"/>
      <c r="D9" s="2"/>
      <c r="E9" s="14"/>
      <c r="F9" s="2"/>
      <c r="G9" s="14"/>
      <c r="H9" s="2"/>
      <c r="I9" s="14"/>
      <c r="J9" s="2"/>
      <c r="K9" s="14"/>
      <c r="L9" s="2"/>
      <c r="M9" s="14"/>
      <c r="N9" s="2"/>
      <c r="O9" s="14"/>
      <c r="P9" s="2"/>
      <c r="Q9" s="14"/>
      <c r="R9" s="2"/>
      <c r="S9" s="14"/>
      <c r="T9" s="2"/>
      <c r="U9" s="14"/>
      <c r="V9" s="2"/>
      <c r="W9" s="14"/>
      <c r="X9" s="2"/>
      <c r="Y9" s="14"/>
      <c r="Z9" s="2"/>
      <c r="AA9" s="14"/>
      <c r="AB9" s="2"/>
      <c r="AC9" s="14"/>
      <c r="AD9" s="2"/>
      <c r="AE9" s="14"/>
      <c r="AF9" s="2"/>
    </row>
    <row r="10" outlineLevel="1" hidden="0">
      <c r="A10" s="6" t="s">
        <v>15</v>
      </c>
      <c r="B10" s="9" t="s">
        <v>17</v>
      </c>
      <c r="C10" s="16" t="n">
        <v>0.810056420362269</v>
      </c>
      <c r="D10" s="9" t="n">
        <v>722</v>
      </c>
      <c r="E10" s="16" t="n">
        <v>0.166697235208859</v>
      </c>
      <c r="F10" s="9" t="n">
        <v>572</v>
      </c>
      <c r="G10" s="16" t="n">
        <v>0.104083086752418</v>
      </c>
      <c r="H10" s="9" t="n">
        <v>585</v>
      </c>
      <c r="I10" s="16" t="n">
        <v>0.0511709522801492</v>
      </c>
      <c r="J10" s="9" t="n">
        <v>573</v>
      </c>
      <c r="K10" s="16" t="n">
        <v>0.0491579373837314</v>
      </c>
      <c r="L10" s="9" t="n">
        <v>573</v>
      </c>
      <c r="M10" s="16" t="n">
        <v>0.810876541616098</v>
      </c>
      <c r="N10" s="9" t="n">
        <v>353</v>
      </c>
      <c r="O10" s="16" t="n">
        <v>0.169895457241574</v>
      </c>
      <c r="P10" s="9" t="n">
        <v>280</v>
      </c>
      <c r="Q10" s="16" t="n">
        <v>0.0846125709789695</v>
      </c>
      <c r="R10" s="9" t="n">
        <v>288</v>
      </c>
      <c r="S10" s="16" t="n">
        <v>0.0440391983412126</v>
      </c>
      <c r="T10" s="9" t="n">
        <v>282</v>
      </c>
      <c r="U10" s="16" t="n">
        <v>0.0369120323831696</v>
      </c>
      <c r="V10" s="9" t="n">
        <v>281</v>
      </c>
      <c r="W10" s="16" t="n">
        <v>0.809266706237109</v>
      </c>
      <c r="X10" s="9" t="n">
        <v>369</v>
      </c>
      <c r="Y10" s="16" t="n">
        <v>0.163620200115974</v>
      </c>
      <c r="Z10" s="9" t="n">
        <v>292</v>
      </c>
      <c r="AA10" s="16" t="n">
        <v>0.122869001978671</v>
      </c>
      <c r="AB10" s="9" t="n">
        <v>297</v>
      </c>
      <c r="AC10" s="16" t="n">
        <v>0.0579899944552155</v>
      </c>
      <c r="AD10" s="9" t="n">
        <v>291</v>
      </c>
      <c r="AE10" s="16" t="n">
        <v>0.0609155061134312</v>
      </c>
      <c r="AF10" s="11" t="n">
        <v>292</v>
      </c>
    </row>
    <row r="11" outlineLevel="1" hidden="0">
      <c r="A11" s="7" t="s">
        <v>15</v>
      </c>
      <c r="B11" t="s">
        <v>18</v>
      </c>
      <c r="C11" s="18" t="n">
        <v>0.872073943756616</v>
      </c>
      <c r="D11" t="n">
        <v>1621</v>
      </c>
      <c r="E11" s="18" t="n">
        <v>0.229299553997094</v>
      </c>
      <c r="F11" t="n">
        <v>1404</v>
      </c>
      <c r="G11" s="18" t="n">
        <v>0.112397502770313</v>
      </c>
      <c r="H11" t="n">
        <v>1417</v>
      </c>
      <c r="I11" s="18" t="n">
        <v>0.0345693323915595</v>
      </c>
      <c r="J11" t="n">
        <v>1376</v>
      </c>
      <c r="K11" s="18" t="n">
        <v>0.0629954448852682</v>
      </c>
      <c r="L11" t="n">
        <v>1383</v>
      </c>
      <c r="M11" s="18" t="n">
        <v>0.894732654288568</v>
      </c>
      <c r="N11" t="n">
        <v>833</v>
      </c>
      <c r="O11" s="18" t="n">
        <v>0.245864028881762</v>
      </c>
      <c r="P11" t="n">
        <v>737</v>
      </c>
      <c r="Q11" s="18" t="n">
        <v>0.121269650640161</v>
      </c>
      <c r="R11" t="n">
        <v>741</v>
      </c>
      <c r="S11" s="18" t="n">
        <v>0.037063988535884</v>
      </c>
      <c r="T11" t="n">
        <v>724</v>
      </c>
      <c r="U11" s="18" t="n">
        <v>0.0683884311640864</v>
      </c>
      <c r="V11" t="n">
        <v>724</v>
      </c>
      <c r="W11" s="18" t="n">
        <v>0.849021546696204</v>
      </c>
      <c r="X11" t="n">
        <v>788</v>
      </c>
      <c r="Y11" s="18" t="n">
        <v>0.211423582631722</v>
      </c>
      <c r="Z11" t="n">
        <v>667</v>
      </c>
      <c r="AA11" s="18" t="n">
        <v>0.102905190200052</v>
      </c>
      <c r="AB11" t="n">
        <v>676</v>
      </c>
      <c r="AC11" s="18" t="n">
        <v>0.0318948481396899</v>
      </c>
      <c r="AD11" t="n">
        <v>652</v>
      </c>
      <c r="AE11" s="18" t="n">
        <v>0.0572232264712134</v>
      </c>
      <c r="AF11" s="12" t="n">
        <v>659</v>
      </c>
    </row>
    <row r="12" outlineLevel="1" hidden="0">
      <c r="A12" s="7" t="s">
        <v>15</v>
      </c>
      <c r="B12" t="s">
        <v>19</v>
      </c>
      <c r="C12" s="18" t="n">
        <v>0.8771519609848</v>
      </c>
      <c r="D12" t="n">
        <v>923</v>
      </c>
      <c r="E12" s="18" t="n">
        <v>0.356434296306924</v>
      </c>
      <c r="F12" t="n">
        <v>780</v>
      </c>
      <c r="G12" s="18" t="n">
        <v>0.109540920221113</v>
      </c>
      <c r="H12" t="n">
        <v>806</v>
      </c>
      <c r="I12" s="18" t="n">
        <v>0.045811701586044</v>
      </c>
      <c r="J12" t="n">
        <v>771</v>
      </c>
      <c r="K12" s="18" t="n">
        <v>0.0661721373271531</v>
      </c>
      <c r="L12" t="n">
        <v>769</v>
      </c>
      <c r="M12" s="18" t="n">
        <v>0.898160947701875</v>
      </c>
      <c r="N12" t="n">
        <v>479</v>
      </c>
      <c r="O12" s="18" t="n">
        <v>0.384158508152275</v>
      </c>
      <c r="P12" t="n">
        <v>409</v>
      </c>
      <c r="Q12" s="18" t="n">
        <v>0.112564790314152</v>
      </c>
      <c r="R12" t="n">
        <v>424</v>
      </c>
      <c r="S12" s="18" t="n">
        <v>0.0639816089681046</v>
      </c>
      <c r="T12" t="n">
        <v>404</v>
      </c>
      <c r="U12" s="18" t="n">
        <v>0.0563704696092601</v>
      </c>
      <c r="V12" t="n">
        <v>401</v>
      </c>
      <c r="W12" s="18" t="n">
        <v>0.855051911006386</v>
      </c>
      <c r="X12" t="n">
        <v>444</v>
      </c>
      <c r="Y12" s="18" t="n">
        <v>0.325737261413088</v>
      </c>
      <c r="Z12" t="n">
        <v>371</v>
      </c>
      <c r="AA12" s="18" t="n">
        <v>0.10619163175805</v>
      </c>
      <c r="AB12" t="n">
        <v>382</v>
      </c>
      <c r="AC12" s="18" t="n">
        <v>0.0258741223037399</v>
      </c>
      <c r="AD12" t="n">
        <v>367</v>
      </c>
      <c r="AE12" s="18" t="n">
        <v>0.0766972236629944</v>
      </c>
      <c r="AF12" s="12" t="n">
        <v>368</v>
      </c>
    </row>
    <row r="13" outlineLevel="1" hidden="0">
      <c r="A13" s="8" t="s">
        <v>15</v>
      </c>
      <c r="B13" s="10" t="s">
        <v>20</v>
      </c>
      <c r="C13" s="17" t="n">
        <v>0.742372601091038</v>
      </c>
      <c r="D13" s="10" t="n">
        <v>1003</v>
      </c>
      <c r="E13" s="17" t="n">
        <v>0.346928533834876</v>
      </c>
      <c r="F13" s="10" t="n">
        <v>720</v>
      </c>
      <c r="G13" s="17" t="n">
        <v>0.134731930763804</v>
      </c>
      <c r="H13" s="10" t="n">
        <v>743</v>
      </c>
      <c r="I13" s="17" t="n">
        <v>0.0635245239746805</v>
      </c>
      <c r="J13" s="10" t="n">
        <v>722</v>
      </c>
      <c r="K13" s="17" t="n">
        <v>0.0684182931359196</v>
      </c>
      <c r="L13" s="10" t="n">
        <v>711</v>
      </c>
      <c r="M13" s="17" t="n">
        <v>0.765237665536481</v>
      </c>
      <c r="N13" s="10" t="n">
        <v>528</v>
      </c>
      <c r="O13" s="17" t="n">
        <v>0.341464741578576</v>
      </c>
      <c r="P13" s="10" t="n">
        <v>378</v>
      </c>
      <c r="Q13" s="17" t="n">
        <v>0.123700318288292</v>
      </c>
      <c r="R13" s="10" t="n">
        <v>396</v>
      </c>
      <c r="S13" s="17" t="n">
        <v>0.0653222795681554</v>
      </c>
      <c r="T13" s="10" t="n">
        <v>381</v>
      </c>
      <c r="U13" s="17" t="n">
        <v>0.0748967146785081</v>
      </c>
      <c r="V13" s="10" t="n">
        <v>373</v>
      </c>
      <c r="W13" s="17" t="n">
        <v>0.71700012996649</v>
      </c>
      <c r="X13" s="10" t="n">
        <v>475</v>
      </c>
      <c r="Y13" s="17" t="n">
        <v>0.353166468518894</v>
      </c>
      <c r="Z13" s="10" t="n">
        <v>342</v>
      </c>
      <c r="AA13" s="17" t="n">
        <v>0.147823697762283</v>
      </c>
      <c r="AB13" s="10" t="n">
        <v>347</v>
      </c>
      <c r="AC13" s="17" t="n">
        <v>0.0614168445357984</v>
      </c>
      <c r="AD13" s="10" t="n">
        <v>341</v>
      </c>
      <c r="AE13" s="17" t="n">
        <v>0.0610118496628793</v>
      </c>
      <c r="AF13" s="13" t="n">
        <v>338</v>
      </c>
    </row>
    <row r="14">
      <c r="C14" s="18"/>
      <c r="E14" s="18"/>
      <c r="G14" s="18"/>
      <c r="I14" s="18"/>
      <c r="K14" s="18"/>
      <c r="M14" s="18"/>
      <c r="O14" s="18"/>
      <c r="Q14" s="18"/>
      <c r="S14" s="18"/>
      <c r="U14" s="18"/>
      <c r="W14" s="18"/>
      <c r="Y14" s="18"/>
      <c r="AA14" s="18"/>
      <c r="AC14" s="18"/>
      <c r="AE14" s="18"/>
    </row>
    <row r="15">
      <c r="A15" s="2" t="s">
        <v>21</v>
      </c>
      <c r="B15" s="2"/>
      <c r="C15" s="14"/>
      <c r="D15" s="2"/>
      <c r="E15" s="14"/>
      <c r="F15" s="2"/>
      <c r="G15" s="14"/>
      <c r="H15" s="2"/>
      <c r="I15" s="14"/>
      <c r="J15" s="2"/>
      <c r="K15" s="14"/>
      <c r="L15" s="2"/>
      <c r="M15" s="14"/>
      <c r="N15" s="2"/>
      <c r="O15" s="14"/>
      <c r="P15" s="2"/>
      <c r="Q15" s="14"/>
      <c r="R15" s="2"/>
      <c r="S15" s="14"/>
      <c r="T15" s="2"/>
      <c r="U15" s="14"/>
      <c r="V15" s="2"/>
      <c r="W15" s="14"/>
      <c r="X15" s="2"/>
      <c r="Y15" s="14"/>
      <c r="Z15" s="2"/>
      <c r="AA15" s="14"/>
      <c r="AB15" s="2"/>
      <c r="AC15" s="14"/>
      <c r="AD15" s="2"/>
      <c r="AE15" s="14"/>
      <c r="AF15" s="2"/>
    </row>
    <row r="16" outlineLevel="1" hidden="0">
      <c r="A16" s="6" t="s">
        <v>15</v>
      </c>
      <c r="B16" s="9" t="s">
        <v>22</v>
      </c>
      <c r="C16" s="16" t="n">
        <v>1</v>
      </c>
      <c r="D16" s="9" t="n">
        <v>3</v>
      </c>
      <c r="E16" s="16"/>
      <c r="F16" s="9"/>
      <c r="G16" s="16" t="n">
        <v>0.333333333333333</v>
      </c>
      <c r="H16" s="9" t="n">
        <v>3</v>
      </c>
      <c r="I16" s="16"/>
      <c r="J16" s="9"/>
      <c r="K16" s="16"/>
      <c r="L16" s="9"/>
      <c r="M16" s="16" t="n">
        <v>1</v>
      </c>
      <c r="N16" s="9" t="n">
        <v>2</v>
      </c>
      <c r="O16" s="16"/>
      <c r="P16" s="9"/>
      <c r="Q16" s="16" t="n">
        <v>0.5</v>
      </c>
      <c r="R16" s="9" t="n">
        <v>2</v>
      </c>
      <c r="S16" s="16"/>
      <c r="T16" s="9"/>
      <c r="U16" s="16"/>
      <c r="V16" s="9"/>
      <c r="W16" s="16" t="n">
        <v>1</v>
      </c>
      <c r="X16" s="9" t="n">
        <v>1</v>
      </c>
      <c r="Y16" s="16"/>
      <c r="Z16" s="9"/>
      <c r="AA16" s="16"/>
      <c r="AB16" s="9"/>
      <c r="AC16" s="16"/>
      <c r="AD16" s="9"/>
      <c r="AE16" s="16"/>
      <c r="AF16" s="11"/>
    </row>
    <row r="17" outlineLevel="1" hidden="0">
      <c r="A17" s="7" t="s">
        <v>15</v>
      </c>
      <c r="B17" t="s">
        <v>23</v>
      </c>
      <c r="C17" s="18" t="n">
        <v>0.819769646951468</v>
      </c>
      <c r="D17" t="n">
        <v>2157</v>
      </c>
      <c r="E17" s="18" t="n">
        <v>0.220682697479464</v>
      </c>
      <c r="F17" t="n">
        <v>1736</v>
      </c>
      <c r="G17" s="18" t="n">
        <v>0.129994140619455</v>
      </c>
      <c r="H17" t="n">
        <v>1751</v>
      </c>
      <c r="I17" s="18" t="n">
        <v>0.0362059413132022</v>
      </c>
      <c r="J17" t="n">
        <v>1688</v>
      </c>
      <c r="K17" s="18" t="n">
        <v>0.0218724799548414</v>
      </c>
      <c r="L17" t="n">
        <v>1700</v>
      </c>
      <c r="M17" s="18" t="n">
        <v>0.836891852998765</v>
      </c>
      <c r="N17" t="n">
        <v>1065</v>
      </c>
      <c r="O17" s="18" t="n">
        <v>0.234036415781448</v>
      </c>
      <c r="P17" t="n">
        <v>868</v>
      </c>
      <c r="Q17" s="18" t="n">
        <v>0.13558692895279</v>
      </c>
      <c r="R17" t="n">
        <v>876</v>
      </c>
      <c r="S17" s="18" t="n">
        <v>0.035911755780909</v>
      </c>
      <c r="T17" t="n">
        <v>841</v>
      </c>
      <c r="U17" s="18" t="n">
        <v>0.0228084112405107</v>
      </c>
      <c r="V17" t="n">
        <v>845</v>
      </c>
      <c r="W17" s="18" t="n">
        <v>0.803329053930179</v>
      </c>
      <c r="X17" t="n">
        <v>1092</v>
      </c>
      <c r="Y17" s="18" t="n">
        <v>0.207211036715222</v>
      </c>
      <c r="Z17" t="n">
        <v>868</v>
      </c>
      <c r="AA17" s="18" t="n">
        <v>0.12437566684955</v>
      </c>
      <c r="AB17" t="n">
        <v>875</v>
      </c>
      <c r="AC17" s="18" t="n">
        <v>0.0364968172818947</v>
      </c>
      <c r="AD17" t="n">
        <v>847</v>
      </c>
      <c r="AE17" s="18" t="n">
        <v>0.0209443441362892</v>
      </c>
      <c r="AF17" s="12" t="n">
        <v>855</v>
      </c>
    </row>
    <row r="18" outlineLevel="1" hidden="0">
      <c r="A18" s="8" t="s">
        <v>15</v>
      </c>
      <c r="B18" s="10" t="s">
        <v>24</v>
      </c>
      <c r="C18" s="17" t="n">
        <v>0.846567406100123</v>
      </c>
      <c r="D18" s="10" t="n">
        <v>2109</v>
      </c>
      <c r="E18" s="17" t="n">
        <v>0.333075228797599</v>
      </c>
      <c r="F18" s="10" t="n">
        <v>1737</v>
      </c>
      <c r="G18" s="17" t="n">
        <v>0.0979568904171893</v>
      </c>
      <c r="H18" s="10" t="n">
        <v>1797</v>
      </c>
      <c r="I18" s="17" t="n">
        <v>0.0569319062492495</v>
      </c>
      <c r="J18" s="10" t="n">
        <v>1751</v>
      </c>
      <c r="K18" s="17" t="n">
        <v>0.110286824993047</v>
      </c>
      <c r="L18" s="10" t="n">
        <v>1733</v>
      </c>
      <c r="M18" s="17" t="n">
        <v>0.86492329005063</v>
      </c>
      <c r="N18" s="10" t="n">
        <v>1126</v>
      </c>
      <c r="O18" s="17" t="n">
        <v>0.3435700683263</v>
      </c>
      <c r="P18" s="10" t="n">
        <v>934</v>
      </c>
      <c r="Q18" s="17" t="n">
        <v>0.0915155285828656</v>
      </c>
      <c r="R18" s="10" t="n">
        <v>971</v>
      </c>
      <c r="S18" s="17" t="n">
        <v>0.0656031153708808</v>
      </c>
      <c r="T18" s="10" t="n">
        <v>948</v>
      </c>
      <c r="U18" s="17" t="n">
        <v>0.105052211136585</v>
      </c>
      <c r="V18" s="10" t="n">
        <v>932</v>
      </c>
      <c r="W18" s="17" t="n">
        <v>0.82572775185613</v>
      </c>
      <c r="X18" s="10" t="n">
        <v>983</v>
      </c>
      <c r="Y18" s="17" t="n">
        <v>0.320833127449229</v>
      </c>
      <c r="Z18" s="10" t="n">
        <v>803</v>
      </c>
      <c r="AA18" s="17" t="n">
        <v>0.10557803833873</v>
      </c>
      <c r="AB18" s="10" t="n">
        <v>826</v>
      </c>
      <c r="AC18" s="17" t="n">
        <v>0.0466102594134839</v>
      </c>
      <c r="AD18" s="10" t="n">
        <v>803</v>
      </c>
      <c r="AE18" s="17" t="n">
        <v>0.116372358274683</v>
      </c>
      <c r="AF18" s="13" t="n">
        <v>801</v>
      </c>
    </row>
    <row r="19">
      <c r="C19" s="18"/>
      <c r="E19" s="18"/>
      <c r="G19" s="18"/>
      <c r="I19" s="18"/>
      <c r="K19" s="18"/>
      <c r="M19" s="18"/>
      <c r="O19" s="18"/>
      <c r="Q19" s="18"/>
      <c r="S19" s="18"/>
      <c r="U19" s="18"/>
      <c r="W19" s="18"/>
      <c r="Y19" s="18"/>
      <c r="AA19" s="18"/>
      <c r="AC19" s="18"/>
      <c r="AE19" s="18"/>
    </row>
    <row r="20">
      <c r="A20" s="2" t="s">
        <v>25</v>
      </c>
      <c r="B20" s="2"/>
      <c r="C20" s="14"/>
      <c r="D20" s="2"/>
      <c r="E20" s="14"/>
      <c r="F20" s="2"/>
      <c r="G20" s="14"/>
      <c r="H20" s="2"/>
      <c r="I20" s="14"/>
      <c r="J20" s="2"/>
      <c r="K20" s="14"/>
      <c r="L20" s="2"/>
      <c r="M20" s="14"/>
      <c r="N20" s="2"/>
      <c r="O20" s="14"/>
      <c r="P20" s="2"/>
      <c r="Q20" s="14"/>
      <c r="R20" s="2"/>
      <c r="S20" s="14"/>
      <c r="T20" s="2"/>
      <c r="U20" s="14"/>
      <c r="V20" s="2"/>
      <c r="W20" s="14"/>
      <c r="X20" s="2"/>
      <c r="Y20" s="14"/>
      <c r="Z20" s="2"/>
      <c r="AA20" s="14"/>
      <c r="AB20" s="2"/>
      <c r="AC20" s="14"/>
      <c r="AD20" s="2"/>
      <c r="AE20" s="14"/>
      <c r="AF20" s="2"/>
    </row>
    <row r="21" outlineLevel="1" hidden="0">
      <c r="A21" s="6" t="s">
        <v>15</v>
      </c>
      <c r="B21" s="9" t="s">
        <v>26</v>
      </c>
      <c r="C21" s="16" t="n">
        <v>0.855958418472638</v>
      </c>
      <c r="D21" s="9" t="n">
        <v>902</v>
      </c>
      <c r="E21" s="16" t="n">
        <v>0.330613389003596</v>
      </c>
      <c r="F21" s="9" t="n">
        <v>719</v>
      </c>
      <c r="G21" s="16" t="n">
        <v>0.0754588020313681</v>
      </c>
      <c r="H21" s="9" t="n">
        <v>757</v>
      </c>
      <c r="I21" s="16" t="n">
        <v>0.0690441027459334</v>
      </c>
      <c r="J21" s="9" t="n">
        <v>739</v>
      </c>
      <c r="K21" s="16" t="n">
        <v>0.143612274871522</v>
      </c>
      <c r="L21" s="9" t="n">
        <v>731</v>
      </c>
      <c r="M21" s="16" t="n">
        <v>0.876097245035602</v>
      </c>
      <c r="N21" s="9" t="n">
        <v>486</v>
      </c>
      <c r="O21" s="16" t="n">
        <v>0.347279512370702</v>
      </c>
      <c r="P21" s="9" t="n">
        <v>395</v>
      </c>
      <c r="Q21" s="16" t="n">
        <v>0.0837693460944057</v>
      </c>
      <c r="R21" s="9" t="n">
        <v>418</v>
      </c>
      <c r="S21" s="16" t="n">
        <v>0.0858867901331354</v>
      </c>
      <c r="T21" s="9" t="n">
        <v>408</v>
      </c>
      <c r="U21" s="16" t="n">
        <v>0.135289528975377</v>
      </c>
      <c r="V21" s="9" t="n">
        <v>398</v>
      </c>
      <c r="W21" s="16" t="n">
        <v>0.832878643955658</v>
      </c>
      <c r="X21" s="9" t="n">
        <v>416</v>
      </c>
      <c r="Y21" s="16" t="n">
        <v>0.310655748533713</v>
      </c>
      <c r="Z21" s="9" t="n">
        <v>324</v>
      </c>
      <c r="AA21" s="16" t="n">
        <v>0.0654527457455142</v>
      </c>
      <c r="AB21" s="9" t="n">
        <v>339</v>
      </c>
      <c r="AC21" s="16" t="n">
        <v>0.048869512750795</v>
      </c>
      <c r="AD21" s="9" t="n">
        <v>331</v>
      </c>
      <c r="AE21" s="16" t="n">
        <v>0.153361239618252</v>
      </c>
      <c r="AF21" s="11" t="n">
        <v>333</v>
      </c>
    </row>
    <row r="22" outlineLevel="1" hidden="0">
      <c r="A22" s="7" t="s">
        <v>15</v>
      </c>
      <c r="B22" t="s">
        <v>27</v>
      </c>
      <c r="C22" s="18" t="n">
        <v>0.782586627536337</v>
      </c>
      <c r="D22" t="n">
        <v>451</v>
      </c>
      <c r="E22" s="18" t="n">
        <v>0.249134154435818</v>
      </c>
      <c r="F22" t="n">
        <v>363</v>
      </c>
      <c r="G22" s="18" t="n">
        <v>0.253494756904871</v>
      </c>
      <c r="H22" t="n">
        <v>371</v>
      </c>
      <c r="I22" s="18" t="n">
        <v>0.0553174548888467</v>
      </c>
      <c r="J22" t="n">
        <v>354</v>
      </c>
      <c r="K22" s="18" t="n">
        <v>0.0194655555884982</v>
      </c>
      <c r="L22" t="n">
        <v>366</v>
      </c>
      <c r="M22" s="18" t="n">
        <v>0.761181068179802</v>
      </c>
      <c r="N22" t="n">
        <v>215</v>
      </c>
      <c r="O22" s="18" t="n">
        <v>0.291968576001141</v>
      </c>
      <c r="P22" t="n">
        <v>170</v>
      </c>
      <c r="Q22" s="18" t="n">
        <v>0.26610455311164</v>
      </c>
      <c r="R22" t="n">
        <v>173</v>
      </c>
      <c r="S22" s="18" t="n">
        <v>0.0100040842600066</v>
      </c>
      <c r="T22" t="n">
        <v>168</v>
      </c>
      <c r="U22" s="18" t="n">
        <v>0.0248080202256701</v>
      </c>
      <c r="V22" t="n">
        <v>169</v>
      </c>
      <c r="W22" s="18" t="n">
        <v>0.800475233227375</v>
      </c>
      <c r="X22" t="n">
        <v>236</v>
      </c>
      <c r="Y22" s="18" t="n">
        <v>0.215251109657667</v>
      </c>
      <c r="Z22" t="n">
        <v>193</v>
      </c>
      <c r="AA22" s="18" t="n">
        <v>0.243569982109616</v>
      </c>
      <c r="AB22" t="n">
        <v>198</v>
      </c>
      <c r="AC22" s="18" t="n">
        <v>0.0925366283818167</v>
      </c>
      <c r="AD22" t="n">
        <v>186</v>
      </c>
      <c r="AE22" s="18" t="n">
        <v>0.0153310067643223</v>
      </c>
      <c r="AF22" s="12" t="n">
        <v>197</v>
      </c>
    </row>
    <row r="23" outlineLevel="1" hidden="0">
      <c r="A23" s="7" t="s">
        <v>15</v>
      </c>
      <c r="B23" t="s">
        <v>28</v>
      </c>
      <c r="C23" s="18" t="n">
        <v>0.850164982951857</v>
      </c>
      <c r="D23" t="n">
        <v>378</v>
      </c>
      <c r="E23" s="18" t="n">
        <v>0.210583569392395</v>
      </c>
      <c r="F23" t="n">
        <v>318</v>
      </c>
      <c r="G23" s="18" t="n">
        <v>0.0800771050747314</v>
      </c>
      <c r="H23" t="n">
        <v>320</v>
      </c>
      <c r="I23" s="18" t="n">
        <v>0.0173081137958698</v>
      </c>
      <c r="J23" t="n">
        <v>318</v>
      </c>
      <c r="K23" s="18" t="n">
        <v>0.00542833377522076</v>
      </c>
      <c r="L23" t="n">
        <v>321</v>
      </c>
      <c r="M23" s="18" t="n">
        <v>0.85262495918213</v>
      </c>
      <c r="N23" t="n">
        <v>191</v>
      </c>
      <c r="O23" s="18" t="n">
        <v>0.182883783550602</v>
      </c>
      <c r="P23" t="n">
        <v>160</v>
      </c>
      <c r="Q23" s="18" t="n">
        <v>0.062673745675154</v>
      </c>
      <c r="R23" t="n">
        <v>162</v>
      </c>
      <c r="S23" s="18" t="n">
        <v>0.0237053454778192</v>
      </c>
      <c r="T23" t="n">
        <v>160</v>
      </c>
      <c r="U23" s="18" t="n">
        <v>0.0108331180308647</v>
      </c>
      <c r="V23" t="n">
        <v>162</v>
      </c>
      <c r="W23" s="18" t="n">
        <v>0.847695267936089</v>
      </c>
      <c r="X23" t="n">
        <v>187</v>
      </c>
      <c r="Y23" s="18" t="n">
        <v>0.238253140408854</v>
      </c>
      <c r="Z23" t="n">
        <v>158</v>
      </c>
      <c r="AA23" s="18" t="n">
        <v>0.0976821558483277</v>
      </c>
      <c r="AB23" t="n">
        <v>158</v>
      </c>
      <c r="AC23" s="18" t="n">
        <v>0.0109398341253458</v>
      </c>
      <c r="AD23" t="n">
        <v>158</v>
      </c>
      <c r="AE23" s="18"/>
      <c r="AF23" s="12"/>
    </row>
    <row r="24" outlineLevel="1" hidden="0">
      <c r="A24" s="7" t="s">
        <v>15</v>
      </c>
      <c r="B24" t="s">
        <v>29</v>
      </c>
      <c r="C24" s="18" t="n">
        <v>0.82154325046042</v>
      </c>
      <c r="D24" t="n">
        <v>358</v>
      </c>
      <c r="E24" s="18" t="n">
        <v>0.153976136963016</v>
      </c>
      <c r="F24" t="n">
        <v>289</v>
      </c>
      <c r="G24" s="18" t="n">
        <v>0.132212030854253</v>
      </c>
      <c r="H24" t="n">
        <v>291</v>
      </c>
      <c r="I24" s="18" t="n">
        <v>0.0254755366236074</v>
      </c>
      <c r="J24" t="n">
        <v>272</v>
      </c>
      <c r="K24" s="18" t="n">
        <v>0.00303436440431575</v>
      </c>
      <c r="L24" t="n">
        <v>266</v>
      </c>
      <c r="M24" s="18" t="n">
        <v>0.847478826475154</v>
      </c>
      <c r="N24" t="n">
        <v>197</v>
      </c>
      <c r="O24" s="18" t="n">
        <v>0.170396242188725</v>
      </c>
      <c r="P24" t="n">
        <v>163</v>
      </c>
      <c r="Q24" s="18" t="n">
        <v>0.142847397633162</v>
      </c>
      <c r="R24" t="n">
        <v>164</v>
      </c>
      <c r="S24" s="18" t="n">
        <v>0.0370208445146821</v>
      </c>
      <c r="T24" t="n">
        <v>153</v>
      </c>
      <c r="U24" s="18" t="n">
        <v>0.00528418181412155</v>
      </c>
      <c r="V24" t="n">
        <v>150</v>
      </c>
      <c r="W24" s="18" t="n">
        <v>0.788880199792517</v>
      </c>
      <c r="X24" t="n">
        <v>161</v>
      </c>
      <c r="Y24" s="18" t="n">
        <v>0.131838776140673</v>
      </c>
      <c r="Z24" t="n">
        <v>126</v>
      </c>
      <c r="AA24" s="18" t="n">
        <v>0.117868112292322</v>
      </c>
      <c r="AB24" t="n">
        <v>127</v>
      </c>
      <c r="AC24" s="18" t="n">
        <v>0.00995410997910749</v>
      </c>
      <c r="AD24" t="n">
        <v>119</v>
      </c>
      <c r="AE24" s="18"/>
      <c r="AF24" s="12"/>
    </row>
    <row r="25" outlineLevel="1" hidden="0">
      <c r="A25" s="7" t="s">
        <v>15</v>
      </c>
      <c r="B25" t="s">
        <v>30</v>
      </c>
      <c r="C25" s="18" t="n">
        <v>0.846597852363699</v>
      </c>
      <c r="D25" t="n">
        <v>300</v>
      </c>
      <c r="E25" s="18" t="n">
        <v>0.26688740293762</v>
      </c>
      <c r="F25" t="n">
        <v>252</v>
      </c>
      <c r="G25" s="18" t="n">
        <v>0.0730382930325886</v>
      </c>
      <c r="H25" t="n">
        <v>254</v>
      </c>
      <c r="I25" s="18" t="n">
        <v>0.0204735451658984</v>
      </c>
      <c r="J25" t="n">
        <v>250</v>
      </c>
      <c r="K25" s="18" t="n">
        <v>0.0301438114738983</v>
      </c>
      <c r="L25" t="n">
        <v>242</v>
      </c>
      <c r="M25" s="18" t="n">
        <v>0.875305022263274</v>
      </c>
      <c r="N25" t="n">
        <v>157</v>
      </c>
      <c r="O25" s="18" t="n">
        <v>0.282900989198986</v>
      </c>
      <c r="P25" t="n">
        <v>136</v>
      </c>
      <c r="Q25" s="18" t="n">
        <v>0.0574125895204309</v>
      </c>
      <c r="R25" t="n">
        <v>137</v>
      </c>
      <c r="S25" s="18" t="n">
        <v>0.0149783576082116</v>
      </c>
      <c r="T25" t="n">
        <v>135</v>
      </c>
      <c r="U25" s="18" t="n">
        <v>0.0238116538575908</v>
      </c>
      <c r="V25" t="n">
        <v>131</v>
      </c>
      <c r="W25" s="18" t="n">
        <v>0.815453700014411</v>
      </c>
      <c r="X25" t="n">
        <v>143</v>
      </c>
      <c r="Y25" s="18" t="n">
        <v>0.248311455157368</v>
      </c>
      <c r="Z25" t="n">
        <v>116</v>
      </c>
      <c r="AA25" s="18" t="n">
        <v>0.0911147823305972</v>
      </c>
      <c r="AB25" t="n">
        <v>117</v>
      </c>
      <c r="AC25" s="18" t="n">
        <v>0.0268268385445629</v>
      </c>
      <c r="AD25" t="n">
        <v>115</v>
      </c>
      <c r="AE25" s="18" t="n">
        <v>0.0375077727579235</v>
      </c>
      <c r="AF25" s="12" t="n">
        <v>111</v>
      </c>
    </row>
    <row r="26" outlineLevel="1" hidden="0">
      <c r="A26" s="7" t="s">
        <v>15</v>
      </c>
      <c r="B26" t="s">
        <v>31</v>
      </c>
      <c r="C26" s="18" t="n">
        <v>0.68906910249362</v>
      </c>
      <c r="D26" t="n">
        <v>410</v>
      </c>
      <c r="E26" s="18" t="n">
        <v>0.212479186835818</v>
      </c>
      <c r="F26" t="n">
        <v>282</v>
      </c>
      <c r="G26" s="18" t="n">
        <v>0.157464425241424</v>
      </c>
      <c r="H26" t="n">
        <v>284</v>
      </c>
      <c r="I26" s="18" t="n">
        <v>0.00692443327521245</v>
      </c>
      <c r="J26" t="n">
        <v>283</v>
      </c>
      <c r="K26" s="18" t="n">
        <v>0.0319636676078102</v>
      </c>
      <c r="L26" t="n">
        <v>285</v>
      </c>
      <c r="M26" s="18" t="n">
        <v>0.731303380428735</v>
      </c>
      <c r="N26" t="n">
        <v>214</v>
      </c>
      <c r="O26" s="18" t="n">
        <v>0.216567652168489</v>
      </c>
      <c r="P26" t="n">
        <v>151</v>
      </c>
      <c r="Q26" s="18" t="n">
        <v>0.158144613178959</v>
      </c>
      <c r="R26" t="n">
        <v>155</v>
      </c>
      <c r="S26" s="18" t="n">
        <v>0.0111005773276708</v>
      </c>
      <c r="T26" t="n">
        <v>153</v>
      </c>
      <c r="U26" s="18" t="n">
        <v>0.0325784527158362</v>
      </c>
      <c r="V26" t="n">
        <v>155</v>
      </c>
      <c r="W26" s="18" t="n">
        <v>0.649108883093699</v>
      </c>
      <c r="X26" t="n">
        <v>196</v>
      </c>
      <c r="Y26" s="18" t="n">
        <v>0.208186202222533</v>
      </c>
      <c r="Z26" t="n">
        <v>131</v>
      </c>
      <c r="AA26" s="18" t="n">
        <v>0.156713283663292</v>
      </c>
      <c r="AB26" t="n">
        <v>129</v>
      </c>
      <c r="AC26" s="18" t="n">
        <v>0.00250744576429905</v>
      </c>
      <c r="AD26" t="n">
        <v>130</v>
      </c>
      <c r="AE26" s="18" t="n">
        <v>0.0312927966181677</v>
      </c>
      <c r="AF26" s="12" t="n">
        <v>130</v>
      </c>
    </row>
    <row r="27" outlineLevel="1" hidden="0">
      <c r="A27" s="7" t="s">
        <v>15</v>
      </c>
      <c r="B27" t="s">
        <v>32</v>
      </c>
      <c r="C27" s="18" t="n">
        <v>0.855379205704077</v>
      </c>
      <c r="D27" t="n">
        <v>324</v>
      </c>
      <c r="E27" s="18" t="n">
        <v>0.272968565158679</v>
      </c>
      <c r="F27" t="n">
        <v>273</v>
      </c>
      <c r="G27" s="18" t="n">
        <v>0.0799286176226699</v>
      </c>
      <c r="H27" t="n">
        <v>273</v>
      </c>
      <c r="I27" s="18" t="n">
        <v>0.056357380575197</v>
      </c>
      <c r="J27" t="n">
        <v>273</v>
      </c>
      <c r="K27" s="18"/>
      <c r="L27"/>
      <c r="M27" s="18" t="n">
        <v>0.887829711386609</v>
      </c>
      <c r="N27" t="n">
        <v>159</v>
      </c>
      <c r="O27" s="18" t="n">
        <v>0.306193812852219</v>
      </c>
      <c r="P27" t="n">
        <v>138</v>
      </c>
      <c r="Q27" s="18" t="n">
        <v>0.0652665621473088</v>
      </c>
      <c r="R27" t="n">
        <v>138</v>
      </c>
      <c r="S27" s="18" t="n">
        <v>0.0610755586161473</v>
      </c>
      <c r="T27" t="n">
        <v>138</v>
      </c>
      <c r="U27" s="18"/>
      <c r="V27"/>
      <c r="W27" s="18" t="n">
        <v>0.826807672131026</v>
      </c>
      <c r="X27" t="n">
        <v>165</v>
      </c>
      <c r="Y27" s="18" t="n">
        <v>0.241555849231916</v>
      </c>
      <c r="Z27" t="n">
        <v>135</v>
      </c>
      <c r="AA27" s="18" t="n">
        <v>0.0937908162674524</v>
      </c>
      <c r="AB27" t="n">
        <v>135</v>
      </c>
      <c r="AC27" s="18" t="n">
        <v>0.0518965925666526</v>
      </c>
      <c r="AD27" t="n">
        <v>135</v>
      </c>
      <c r="AE27" s="18"/>
      <c r="AF27" s="12"/>
    </row>
    <row r="28" outlineLevel="1" hidden="0">
      <c r="A28" s="7" t="s">
        <v>15</v>
      </c>
      <c r="B28" t="s">
        <v>33</v>
      </c>
      <c r="C28" s="18" t="n">
        <v>0.903904049932929</v>
      </c>
      <c r="D28" t="n">
        <v>333</v>
      </c>
      <c r="E28" s="18" t="n">
        <v>0.250084949656641</v>
      </c>
      <c r="F28" t="n">
        <v>302</v>
      </c>
      <c r="G28" s="18" t="n">
        <v>0.250239118487304</v>
      </c>
      <c r="H28" t="n">
        <v>305</v>
      </c>
      <c r="I28" s="18" t="n">
        <v>0.10316923745155</v>
      </c>
      <c r="J28" t="n">
        <v>282</v>
      </c>
      <c r="K28" s="18"/>
      <c r="L28"/>
      <c r="M28" s="18" t="n">
        <v>0.92327076477813</v>
      </c>
      <c r="N28" t="n">
        <v>162</v>
      </c>
      <c r="O28" s="18" t="n">
        <v>0.260458011716249</v>
      </c>
      <c r="P28" t="n">
        <v>148</v>
      </c>
      <c r="Q28" s="18" t="n">
        <v>0.307652583511849</v>
      </c>
      <c r="R28" t="n">
        <v>151</v>
      </c>
      <c r="S28" s="18" t="n">
        <v>0.0937041752146809</v>
      </c>
      <c r="T28" t="n">
        <v>139</v>
      </c>
      <c r="U28" s="18"/>
      <c r="V28"/>
      <c r="W28" s="18" t="n">
        <v>0.888048798280566</v>
      </c>
      <c r="X28" t="n">
        <v>171</v>
      </c>
      <c r="Y28" s="18" t="n">
        <v>0.241291410915891</v>
      </c>
      <c r="Z28" t="n">
        <v>154</v>
      </c>
      <c r="AA28" s="18" t="n">
        <v>0.201371272929089</v>
      </c>
      <c r="AB28" t="n">
        <v>154</v>
      </c>
      <c r="AC28" s="18" t="n">
        <v>0.111106607998104</v>
      </c>
      <c r="AD28" t="n">
        <v>143</v>
      </c>
      <c r="AE28" s="18"/>
      <c r="AF28" s="12"/>
    </row>
    <row r="29" outlineLevel="1" hidden="0">
      <c r="A29" s="7" t="s">
        <v>15</v>
      </c>
      <c r="B29" t="s">
        <v>34</v>
      </c>
      <c r="C29" s="18" t="n">
        <v>0.763212311173447</v>
      </c>
      <c r="D29" t="n">
        <v>399</v>
      </c>
      <c r="E29" s="18" t="n">
        <v>0.323804522873593</v>
      </c>
      <c r="F29" t="n">
        <v>302</v>
      </c>
      <c r="G29" s="18" t="n">
        <v>0.281981956705785</v>
      </c>
      <c r="H29" t="n">
        <v>318</v>
      </c>
      <c r="I29" s="18" t="n">
        <v>0.0337001752165589</v>
      </c>
      <c r="J29" t="n">
        <v>299</v>
      </c>
      <c r="K29" s="18" t="n">
        <v>0.0070524552423897</v>
      </c>
      <c r="L29" t="n">
        <v>298</v>
      </c>
      <c r="M29" s="18" t="n">
        <v>0.771226758120523</v>
      </c>
      <c r="N29" t="n">
        <v>205</v>
      </c>
      <c r="O29" s="18" t="n">
        <v>0.34839426205554</v>
      </c>
      <c r="P29" t="n">
        <v>159</v>
      </c>
      <c r="Q29" s="18" t="n">
        <v>0.292405575615235</v>
      </c>
      <c r="R29" t="n">
        <v>165</v>
      </c>
      <c r="S29" s="18" t="n">
        <v>0.0326663592874906</v>
      </c>
      <c r="T29" t="n">
        <v>153</v>
      </c>
      <c r="U29" s="18" t="n">
        <v>0.0142228771679699</v>
      </c>
      <c r="V29" t="n">
        <v>154</v>
      </c>
      <c r="W29" s="18" t="n">
        <v>0.755355841457084</v>
      </c>
      <c r="X29" t="n">
        <v>194</v>
      </c>
      <c r="Y29" s="18" t="n">
        <v>0.298585244211685</v>
      </c>
      <c r="Z29" t="n">
        <v>143</v>
      </c>
      <c r="AA29" s="18" t="n">
        <v>0.271582738280122</v>
      </c>
      <c r="AB29" t="n">
        <v>153</v>
      </c>
      <c r="AC29" s="18" t="n">
        <v>0.0346921537486258</v>
      </c>
      <c r="AD29" t="n">
        <v>146</v>
      </c>
      <c r="AE29" s="18"/>
      <c r="AF29" s="12"/>
    </row>
    <row r="30" outlineLevel="1" hidden="0">
      <c r="A30" s="8" t="s">
        <v>15</v>
      </c>
      <c r="B30" s="10" t="s">
        <v>35</v>
      </c>
      <c r="C30" s="17" t="n">
        <v>0.912585529364608</v>
      </c>
      <c r="D30" s="10" t="n">
        <v>414</v>
      </c>
      <c r="E30" s="17" t="n">
        <v>0.095572832869504</v>
      </c>
      <c r="F30" s="10" t="n">
        <v>376</v>
      </c>
      <c r="G30" s="17" t="n">
        <v>0.044324549857255</v>
      </c>
      <c r="H30" s="10" t="n">
        <v>378</v>
      </c>
      <c r="I30" s="17" t="n">
        <v>0.00514443900407617</v>
      </c>
      <c r="J30" s="10" t="n">
        <v>372</v>
      </c>
      <c r="K30" s="17" t="n">
        <v>0.00203216412891444</v>
      </c>
      <c r="L30" s="10" t="n">
        <v>378</v>
      </c>
      <c r="M30" s="17" t="n">
        <v>0.900707730269287</v>
      </c>
      <c r="N30" s="10" t="n">
        <v>207</v>
      </c>
      <c r="O30" s="17" t="n">
        <v>0.0749628516563271</v>
      </c>
      <c r="P30" s="10" t="n">
        <v>184</v>
      </c>
      <c r="Q30" s="17" t="n">
        <v>0.04139242696938</v>
      </c>
      <c r="R30" s="10" t="n">
        <v>186</v>
      </c>
      <c r="S30" s="17" t="n">
        <v>0.00611981573781843</v>
      </c>
      <c r="T30" s="10" t="n">
        <v>184</v>
      </c>
      <c r="U30" s="17" t="n">
        <v>0.00202753046641553</v>
      </c>
      <c r="V30" s="10" t="n">
        <v>187</v>
      </c>
      <c r="W30" s="17" t="n">
        <v>0.924812165632495</v>
      </c>
      <c r="X30" s="10" t="n">
        <v>207</v>
      </c>
      <c r="Y30" s="17" t="n">
        <v>0.116109467023694</v>
      </c>
      <c r="Z30" s="10" t="n">
        <v>192</v>
      </c>
      <c r="AA30" s="17" t="n">
        <v>0.0472581579976993</v>
      </c>
      <c r="AB30" s="10" t="n">
        <v>192</v>
      </c>
      <c r="AC30" s="17" t="n">
        <v>0.0041518546117498</v>
      </c>
      <c r="AD30" s="10" t="n">
        <v>188</v>
      </c>
      <c r="AE30" s="17" t="n">
        <v>0.00203681901921706</v>
      </c>
      <c r="AF30" s="13" t="n">
        <v>191</v>
      </c>
    </row>
    <row r="31">
      <c r="C31" s="18"/>
      <c r="E31" s="18"/>
      <c r="G31" s="18"/>
      <c r="I31" s="18"/>
      <c r="K31" s="18"/>
      <c r="M31" s="18"/>
      <c r="O31" s="18"/>
      <c r="Q31" s="18"/>
      <c r="S31" s="18"/>
      <c r="U31" s="18"/>
      <c r="W31" s="18"/>
      <c r="Y31" s="18"/>
      <c r="AA31" s="18"/>
      <c r="AC31" s="18"/>
      <c r="AE31" s="18"/>
    </row>
    <row r="32">
      <c r="A32" s="2" t="s">
        <v>36</v>
      </c>
      <c r="B32" s="2"/>
      <c r="C32" s="14"/>
      <c r="D32" s="2"/>
      <c r="E32" s="14"/>
      <c r="F32" s="2"/>
      <c r="G32" s="14"/>
      <c r="H32" s="2"/>
      <c r="I32" s="14"/>
      <c r="J32" s="2"/>
      <c r="K32" s="14"/>
      <c r="L32" s="2"/>
      <c r="M32" s="14"/>
      <c r="N32" s="2"/>
      <c r="O32" s="14"/>
      <c r="P32" s="2"/>
      <c r="Q32" s="14"/>
      <c r="R32" s="2"/>
      <c r="S32" s="14"/>
      <c r="T32" s="2"/>
      <c r="U32" s="14"/>
      <c r="V32" s="2"/>
      <c r="W32" s="14"/>
      <c r="X32" s="2"/>
      <c r="Y32" s="14"/>
      <c r="Z32" s="2"/>
      <c r="AA32" s="14"/>
      <c r="AB32" s="2"/>
      <c r="AC32" s="14"/>
      <c r="AD32" s="2"/>
      <c r="AE32" s="14"/>
      <c r="AF32" s="2"/>
    </row>
    <row r="33" outlineLevel="1" hidden="0">
      <c r="A33" s="6" t="s">
        <v>15</v>
      </c>
      <c r="B33" s="9" t="s">
        <v>37</v>
      </c>
      <c r="C33" s="16" t="n">
        <v>0.815789473684211</v>
      </c>
      <c r="D33" s="9" t="n">
        <v>152</v>
      </c>
      <c r="E33" s="16" t="n">
        <v>0.276422764227642</v>
      </c>
      <c r="F33" s="9" t="n">
        <v>123</v>
      </c>
      <c r="G33" s="16" t="n">
        <v>0.0564516129032258</v>
      </c>
      <c r="H33" s="9" t="n">
        <v>124</v>
      </c>
      <c r="I33" s="16" t="n">
        <v>0.025</v>
      </c>
      <c r="J33" s="9" t="n">
        <v>120</v>
      </c>
      <c r="K33" s="16" t="n">
        <v>0.0413223140495868</v>
      </c>
      <c r="L33" s="9" t="n">
        <v>121</v>
      </c>
      <c r="M33" s="16" t="n">
        <v>0.84</v>
      </c>
      <c r="N33" s="9" t="n">
        <v>75</v>
      </c>
      <c r="O33" s="16" t="n">
        <v>0.317460317460317</v>
      </c>
      <c r="P33" s="9" t="n">
        <v>63</v>
      </c>
      <c r="Q33" s="16" t="n">
        <v>0.0476190476190476</v>
      </c>
      <c r="R33" s="9" t="n">
        <v>63</v>
      </c>
      <c r="S33" s="16" t="n">
        <v>0.0166666666666667</v>
      </c>
      <c r="T33" s="9" t="n">
        <v>60</v>
      </c>
      <c r="U33" s="16" t="n">
        <v>0.0327868852459016</v>
      </c>
      <c r="V33" s="9" t="n">
        <v>61</v>
      </c>
      <c r="W33" s="16" t="n">
        <v>0.792207792207792</v>
      </c>
      <c r="X33" s="9" t="n">
        <v>77</v>
      </c>
      <c r="Y33" s="16" t="n">
        <v>0.233333333333333</v>
      </c>
      <c r="Z33" s="9" t="n">
        <v>60</v>
      </c>
      <c r="AA33" s="16" t="n">
        <v>0.0655737704918033</v>
      </c>
      <c r="AB33" s="9" t="n">
        <v>61</v>
      </c>
      <c r="AC33" s="16" t="n">
        <v>0.0333333333333333</v>
      </c>
      <c r="AD33" s="9" t="n">
        <v>60</v>
      </c>
      <c r="AE33" s="16" t="n">
        <v>0.05</v>
      </c>
      <c r="AF33" s="11" t="n">
        <v>60</v>
      </c>
    </row>
    <row r="34" outlineLevel="1" hidden="0">
      <c r="A34" s="7" t="s">
        <v>15</v>
      </c>
      <c r="B34" t="s">
        <v>38</v>
      </c>
      <c r="C34" s="18" t="n">
        <v>0.885135135135135</v>
      </c>
      <c r="D34" t="n">
        <v>148</v>
      </c>
      <c r="E34" s="18" t="n">
        <v>0.255813953488372</v>
      </c>
      <c r="F34" t="n">
        <v>129</v>
      </c>
      <c r="G34" s="18" t="n">
        <v>0.0923076923076923</v>
      </c>
      <c r="H34" t="n">
        <v>130</v>
      </c>
      <c r="I34" s="18" t="n">
        <v>0.0153846153846154</v>
      </c>
      <c r="J34" t="n">
        <v>130</v>
      </c>
      <c r="K34" s="18" t="n">
        <v>0.0165289256198347</v>
      </c>
      <c r="L34" t="n">
        <v>121</v>
      </c>
      <c r="M34" s="18" t="n">
        <v>0.914634146341463</v>
      </c>
      <c r="N34" t="n">
        <v>82</v>
      </c>
      <c r="O34" s="18" t="n">
        <v>0.246575342465753</v>
      </c>
      <c r="P34" t="n">
        <v>73</v>
      </c>
      <c r="Q34" s="18" t="n">
        <v>0.0675675675675676</v>
      </c>
      <c r="R34" t="n">
        <v>74</v>
      </c>
      <c r="S34" s="18" t="n">
        <v>0.0133333333333333</v>
      </c>
      <c r="T34" t="n">
        <v>75</v>
      </c>
      <c r="U34" s="18" t="n">
        <v>0.0142857142857143</v>
      </c>
      <c r="V34" t="n">
        <v>70</v>
      </c>
      <c r="W34" s="18" t="n">
        <v>0.848484848484848</v>
      </c>
      <c r="X34" t="n">
        <v>66</v>
      </c>
      <c r="Y34" s="18" t="n">
        <v>0.267857142857143</v>
      </c>
      <c r="Z34" t="n">
        <v>56</v>
      </c>
      <c r="AA34" s="18" t="n">
        <v>0.125</v>
      </c>
      <c r="AB34" t="n">
        <v>56</v>
      </c>
      <c r="AC34" s="18" t="n">
        <v>0.0181818181818182</v>
      </c>
      <c r="AD34" t="n">
        <v>55</v>
      </c>
      <c r="AE34" s="18" t="n">
        <v>0.0196078431372549</v>
      </c>
      <c r="AF34" s="12" t="n">
        <v>51</v>
      </c>
    </row>
    <row r="35" outlineLevel="1" hidden="0">
      <c r="A35" s="7" t="s">
        <v>15</v>
      </c>
      <c r="B35" t="s">
        <v>39</v>
      </c>
      <c r="C35" s="18" t="n">
        <v>0.68348623853211</v>
      </c>
      <c r="D35" t="n">
        <v>218</v>
      </c>
      <c r="E35" s="18" t="n">
        <v>0.212328767123288</v>
      </c>
      <c r="F35" t="n">
        <v>146</v>
      </c>
      <c r="G35" s="18" t="n">
        <v>0.164383561643836</v>
      </c>
      <c r="H35" t="n">
        <v>146</v>
      </c>
      <c r="I35" s="18" t="n">
        <v>0.00684931506849315</v>
      </c>
      <c r="J35" t="n">
        <v>146</v>
      </c>
      <c r="K35" s="18" t="n">
        <v>0.0340136054421769</v>
      </c>
      <c r="L35" t="n">
        <v>147</v>
      </c>
      <c r="M35" s="18" t="n">
        <v>0.735294117647059</v>
      </c>
      <c r="N35" t="n">
        <v>102</v>
      </c>
      <c r="O35" s="18" t="n">
        <v>0.219178082191781</v>
      </c>
      <c r="P35" t="n">
        <v>73</v>
      </c>
      <c r="Q35" s="18" t="n">
        <v>0.16</v>
      </c>
      <c r="R35" t="n">
        <v>75</v>
      </c>
      <c r="S35" s="18" t="n">
        <v>0.0136986301369863</v>
      </c>
      <c r="T35" t="n">
        <v>73</v>
      </c>
      <c r="U35" s="18" t="n">
        <v>0.04</v>
      </c>
      <c r="V35" t="n">
        <v>75</v>
      </c>
      <c r="W35" s="18" t="n">
        <v>0.637931034482759</v>
      </c>
      <c r="X35" t="n">
        <v>116</v>
      </c>
      <c r="Y35" s="18" t="n">
        <v>0.205479452054795</v>
      </c>
      <c r="Z35" t="n">
        <v>73</v>
      </c>
      <c r="AA35" s="18" t="n">
        <v>0.169014084507042</v>
      </c>
      <c r="AB35" t="n">
        <v>71</v>
      </c>
      <c r="AC35" s="18"/>
      <c r="AD35"/>
      <c r="AE35" s="18" t="n">
        <v>0.0277777777777778</v>
      </c>
      <c r="AF35" s="12" t="n">
        <v>72</v>
      </c>
    </row>
    <row r="36" outlineLevel="1" hidden="0">
      <c r="A36" s="7" t="s">
        <v>15</v>
      </c>
      <c r="B36" t="s">
        <v>40</v>
      </c>
      <c r="C36" s="18" t="n">
        <v>0.71875</v>
      </c>
      <c r="D36" t="n">
        <v>192</v>
      </c>
      <c r="E36" s="18" t="n">
        <v>0.213235294117647</v>
      </c>
      <c r="F36" t="n">
        <v>136</v>
      </c>
      <c r="G36" s="18" t="n">
        <v>0.123188405797101</v>
      </c>
      <c r="H36" t="n">
        <v>138</v>
      </c>
      <c r="I36" s="18" t="n">
        <v>0.0072992700729927</v>
      </c>
      <c r="J36" t="n">
        <v>137</v>
      </c>
      <c r="K36" s="18" t="n">
        <v>0.0217391304347826</v>
      </c>
      <c r="L36" t="n">
        <v>138</v>
      </c>
      <c r="M36" s="18" t="n">
        <v>0.714285714285714</v>
      </c>
      <c r="N36" t="n">
        <v>112</v>
      </c>
      <c r="O36" s="18" t="n">
        <v>0.205128205128205</v>
      </c>
      <c r="P36" t="n">
        <v>78</v>
      </c>
      <c r="Q36" s="18" t="n">
        <v>0.15</v>
      </c>
      <c r="R36" t="n">
        <v>80</v>
      </c>
      <c r="S36" s="18"/>
      <c r="T36"/>
      <c r="U36" s="18"/>
      <c r="V36"/>
      <c r="W36" s="18" t="n">
        <v>0.725</v>
      </c>
      <c r="X36" t="n">
        <v>80</v>
      </c>
      <c r="Y36" s="18" t="n">
        <v>0.224137931034483</v>
      </c>
      <c r="Z36" t="n">
        <v>58</v>
      </c>
      <c r="AA36" s="18" t="n">
        <v>0.0862068965517241</v>
      </c>
      <c r="AB36" t="n">
        <v>58</v>
      </c>
      <c r="AC36" s="18" t="n">
        <v>0.0175438596491228</v>
      </c>
      <c r="AD36" t="n">
        <v>57</v>
      </c>
      <c r="AE36" s="18" t="n">
        <v>0.0517241379310345</v>
      </c>
      <c r="AF36" s="12" t="n">
        <v>58</v>
      </c>
    </row>
    <row r="37" outlineLevel="1" hidden="0">
      <c r="A37" s="7" t="s">
        <v>15</v>
      </c>
      <c r="B37" t="s">
        <v>41</v>
      </c>
      <c r="C37" s="18" t="n">
        <v>0.901162790697674</v>
      </c>
      <c r="D37" t="n">
        <v>172</v>
      </c>
      <c r="E37" s="18" t="n">
        <v>0.245161290322581</v>
      </c>
      <c r="F37" t="n">
        <v>155</v>
      </c>
      <c r="G37" s="18" t="n">
        <v>0.245161290322581</v>
      </c>
      <c r="H37" t="n">
        <v>155</v>
      </c>
      <c r="I37" s="18" t="n">
        <v>0.104895104895105</v>
      </c>
      <c r="J37" t="n">
        <v>143</v>
      </c>
      <c r="K37" s="18"/>
      <c r="L37"/>
      <c r="M37" s="18" t="n">
        <v>0.921052631578947</v>
      </c>
      <c r="N37" t="n">
        <v>76</v>
      </c>
      <c r="O37" s="18" t="n">
        <v>0.242857142857143</v>
      </c>
      <c r="P37" t="n">
        <v>70</v>
      </c>
      <c r="Q37" s="18" t="n">
        <v>0.3</v>
      </c>
      <c r="R37" t="n">
        <v>70</v>
      </c>
      <c r="S37" s="18" t="n">
        <v>0.09375</v>
      </c>
      <c r="T37" t="n">
        <v>64</v>
      </c>
      <c r="U37" s="18"/>
      <c r="V37"/>
      <c r="W37" s="18" t="n">
        <v>0.885416666666667</v>
      </c>
      <c r="X37" t="n">
        <v>96</v>
      </c>
      <c r="Y37" s="18" t="n">
        <v>0.247058823529412</v>
      </c>
      <c r="Z37" t="n">
        <v>85</v>
      </c>
      <c r="AA37" s="18" t="n">
        <v>0.2</v>
      </c>
      <c r="AB37" t="n">
        <v>85</v>
      </c>
      <c r="AC37" s="18" t="n">
        <v>0.113924050632911</v>
      </c>
      <c r="AD37" t="n">
        <v>79</v>
      </c>
      <c r="AE37" s="18"/>
      <c r="AF37" s="12"/>
    </row>
    <row r="38" outlineLevel="1" hidden="0">
      <c r="A38" s="7" t="s">
        <v>15</v>
      </c>
      <c r="B38" t="s">
        <v>42</v>
      </c>
      <c r="C38" s="18" t="n">
        <v>0.93167701863354</v>
      </c>
      <c r="D38" t="n">
        <v>161</v>
      </c>
      <c r="E38" s="18" t="n">
        <v>0.299319727891156</v>
      </c>
      <c r="F38" t="n">
        <v>147</v>
      </c>
      <c r="G38" s="18" t="n">
        <v>0.3</v>
      </c>
      <c r="H38" t="n">
        <v>150</v>
      </c>
      <c r="I38" s="18" t="n">
        <v>0.0863309352517986</v>
      </c>
      <c r="J38" t="n">
        <v>139</v>
      </c>
      <c r="K38" s="18"/>
      <c r="L38"/>
      <c r="M38" s="18" t="n">
        <v>0.941860465116279</v>
      </c>
      <c r="N38" t="n">
        <v>86</v>
      </c>
      <c r="O38" s="18" t="n">
        <v>0.41025641025641</v>
      </c>
      <c r="P38" t="n">
        <v>78</v>
      </c>
      <c r="Q38" s="18" t="n">
        <v>0.37037037037037</v>
      </c>
      <c r="R38" t="n">
        <v>81</v>
      </c>
      <c r="S38" s="18" t="n">
        <v>0.0933333333333333</v>
      </c>
      <c r="T38" t="n">
        <v>75</v>
      </c>
      <c r="U38" s="18"/>
      <c r="V38"/>
      <c r="W38" s="18" t="n">
        <v>0.92</v>
      </c>
      <c r="X38" t="n">
        <v>75</v>
      </c>
      <c r="Y38" s="18" t="n">
        <v>0.173913043478261</v>
      </c>
      <c r="Z38" t="n">
        <v>69</v>
      </c>
      <c r="AA38" s="18" t="n">
        <v>0.217391304347826</v>
      </c>
      <c r="AB38" t="n">
        <v>69</v>
      </c>
      <c r="AC38" s="18" t="n">
        <v>0.078125</v>
      </c>
      <c r="AD38" t="n">
        <v>64</v>
      </c>
      <c r="AE38" s="18"/>
      <c r="AF38" s="12"/>
    </row>
    <row r="39" outlineLevel="1" hidden="0">
      <c r="A39" s="7" t="s">
        <v>15</v>
      </c>
      <c r="B39" t="s">
        <v>43</v>
      </c>
      <c r="C39" s="18" t="n">
        <v>0.910798122065728</v>
      </c>
      <c r="D39" t="n">
        <v>213</v>
      </c>
      <c r="E39" s="18" t="n">
        <v>0.077319587628866</v>
      </c>
      <c r="F39" t="n">
        <v>194</v>
      </c>
      <c r="G39" s="18" t="n">
        <v>0.0257731958762887</v>
      </c>
      <c r="H39" t="n">
        <v>194</v>
      </c>
      <c r="I39" s="18"/>
      <c r="J39"/>
      <c r="K39" s="18"/>
      <c r="L39"/>
      <c r="M39" s="18" t="n">
        <v>0.899082568807339</v>
      </c>
      <c r="N39" t="n">
        <v>109</v>
      </c>
      <c r="O39" s="18" t="n">
        <v>0.0612244897959184</v>
      </c>
      <c r="P39" t="n">
        <v>98</v>
      </c>
      <c r="Q39" s="18" t="n">
        <v>0.0306122448979592</v>
      </c>
      <c r="R39" t="n">
        <v>98</v>
      </c>
      <c r="S39" s="18"/>
      <c r="T39"/>
      <c r="U39" s="18"/>
      <c r="V39"/>
      <c r="W39" s="18" t="n">
        <v>0.923076923076923</v>
      </c>
      <c r="X39" t="n">
        <v>104</v>
      </c>
      <c r="Y39" s="18" t="n">
        <v>0.09375</v>
      </c>
      <c r="Z39" t="n">
        <v>96</v>
      </c>
      <c r="AA39" s="18" t="n">
        <v>0.0208333333333333</v>
      </c>
      <c r="AB39" t="n">
        <v>96</v>
      </c>
      <c r="AC39" s="18"/>
      <c r="AD39"/>
      <c r="AE39" s="18"/>
      <c r="AF39" s="12"/>
    </row>
    <row r="40" outlineLevel="1" hidden="0">
      <c r="A40" s="7" t="s">
        <v>15</v>
      </c>
      <c r="B40" t="s">
        <v>44</v>
      </c>
      <c r="C40" s="18" t="n">
        <v>0.920398009950249</v>
      </c>
      <c r="D40" t="n">
        <v>201</v>
      </c>
      <c r="E40" s="18" t="n">
        <v>0.175824175824176</v>
      </c>
      <c r="F40" t="n">
        <v>182</v>
      </c>
      <c r="G40" s="18" t="n">
        <v>0.125</v>
      </c>
      <c r="H40" t="n">
        <v>184</v>
      </c>
      <c r="I40" s="18" t="n">
        <v>0.0277777777777778</v>
      </c>
      <c r="J40" t="n">
        <v>180</v>
      </c>
      <c r="K40" s="18" t="n">
        <v>0.0108695652173913</v>
      </c>
      <c r="L40" t="n">
        <v>184</v>
      </c>
      <c r="M40" s="18" t="n">
        <v>0.908163265306123</v>
      </c>
      <c r="N40" t="n">
        <v>98</v>
      </c>
      <c r="O40" s="18" t="n">
        <v>0.13953488372093</v>
      </c>
      <c r="P40" t="n">
        <v>86</v>
      </c>
      <c r="Q40" s="18" t="n">
        <v>0.0909090909090909</v>
      </c>
      <c r="R40" t="n">
        <v>88</v>
      </c>
      <c r="S40" s="18" t="n">
        <v>0.0348837209302326</v>
      </c>
      <c r="T40" t="n">
        <v>86</v>
      </c>
      <c r="U40" s="18" t="n">
        <v>0.0112359550561798</v>
      </c>
      <c r="V40" t="n">
        <v>89</v>
      </c>
      <c r="W40" s="18" t="n">
        <v>0.932038834951456</v>
      </c>
      <c r="X40" t="n">
        <v>103</v>
      </c>
      <c r="Y40" s="18" t="n">
        <v>0.208333333333333</v>
      </c>
      <c r="Z40" t="n">
        <v>96</v>
      </c>
      <c r="AA40" s="18" t="n">
        <v>0.15625</v>
      </c>
      <c r="AB40" t="n">
        <v>96</v>
      </c>
      <c r="AC40" s="18" t="n">
        <v>0.0212765957446809</v>
      </c>
      <c r="AD40" t="n">
        <v>94</v>
      </c>
      <c r="AE40" s="18" t="n">
        <v>0.0105263157894737</v>
      </c>
      <c r="AF40" s="12" t="n">
        <v>95</v>
      </c>
    </row>
    <row r="41" outlineLevel="1" hidden="0">
      <c r="A41" s="7" t="s">
        <v>15</v>
      </c>
      <c r="B41" t="s">
        <v>45</v>
      </c>
      <c r="C41" s="18" t="n">
        <v>0.822916666666667</v>
      </c>
      <c r="D41" t="n">
        <v>192</v>
      </c>
      <c r="E41" s="18" t="n">
        <v>0.146496815286624</v>
      </c>
      <c r="F41" t="n">
        <v>157</v>
      </c>
      <c r="G41" s="18" t="n">
        <v>0.139240506329114</v>
      </c>
      <c r="H41" t="n">
        <v>158</v>
      </c>
      <c r="I41" s="18" t="n">
        <v>0.04</v>
      </c>
      <c r="J41" t="n">
        <v>150</v>
      </c>
      <c r="K41" s="18"/>
      <c r="L41"/>
      <c r="M41" s="18" t="n">
        <v>0.867256637168142</v>
      </c>
      <c r="N41" t="n">
        <v>113</v>
      </c>
      <c r="O41" s="18" t="n">
        <v>0.164948453608247</v>
      </c>
      <c r="P41" t="n">
        <v>97</v>
      </c>
      <c r="Q41" s="18" t="n">
        <v>0.153061224489796</v>
      </c>
      <c r="R41" t="n">
        <v>98</v>
      </c>
      <c r="S41" s="18" t="n">
        <v>0.053763440860215</v>
      </c>
      <c r="T41" t="n">
        <v>93</v>
      </c>
      <c r="U41" s="18"/>
      <c r="V41"/>
      <c r="W41" s="18" t="n">
        <v>0.759493670886076</v>
      </c>
      <c r="X41" t="n">
        <v>79</v>
      </c>
      <c r="Y41" s="18" t="n">
        <v>0.116666666666667</v>
      </c>
      <c r="Z41" t="n">
        <v>60</v>
      </c>
      <c r="AA41" s="18" t="n">
        <v>0.116666666666667</v>
      </c>
      <c r="AB41" t="n">
        <v>60</v>
      </c>
      <c r="AC41" s="18" t="n">
        <v>0.0175438596491228</v>
      </c>
      <c r="AD41" t="n">
        <v>57</v>
      </c>
      <c r="AE41" s="18"/>
      <c r="AF41" s="12"/>
    </row>
    <row r="42" outlineLevel="1" hidden="0">
      <c r="A42" s="7" t="s">
        <v>15</v>
      </c>
      <c r="B42" t="s">
        <v>46</v>
      </c>
      <c r="C42" s="18" t="n">
        <v>0.819277108433735</v>
      </c>
      <c r="D42" t="n">
        <v>166</v>
      </c>
      <c r="E42" s="18" t="n">
        <v>0.166666666666667</v>
      </c>
      <c r="F42" t="n">
        <v>132</v>
      </c>
      <c r="G42" s="18" t="n">
        <v>0.120300751879699</v>
      </c>
      <c r="H42" t="n">
        <v>133</v>
      </c>
      <c r="I42" s="18"/>
      <c r="J42"/>
      <c r="K42" s="18" t="n">
        <v>0.00854700854700855</v>
      </c>
      <c r="L42" t="n">
        <v>117</v>
      </c>
      <c r="M42" s="18" t="n">
        <v>0.80952380952381</v>
      </c>
      <c r="N42" t="n">
        <v>84</v>
      </c>
      <c r="O42" s="18" t="n">
        <v>0.181818181818182</v>
      </c>
      <c r="P42" t="n">
        <v>66</v>
      </c>
      <c r="Q42" s="18" t="n">
        <v>0.121212121212121</v>
      </c>
      <c r="R42" t="n">
        <v>66</v>
      </c>
      <c r="S42" s="18"/>
      <c r="T42"/>
      <c r="U42" s="18" t="n">
        <v>0.0172413793103448</v>
      </c>
      <c r="V42" t="n">
        <v>58</v>
      </c>
      <c r="W42" s="18" t="n">
        <v>0.829268292682927</v>
      </c>
      <c r="X42" t="n">
        <v>82</v>
      </c>
      <c r="Y42" s="18" t="n">
        <v>0.151515151515151</v>
      </c>
      <c r="Z42" t="n">
        <v>66</v>
      </c>
      <c r="AA42" s="18" t="n">
        <v>0.119402985074627</v>
      </c>
      <c r="AB42" t="n">
        <v>67</v>
      </c>
      <c r="AC42" s="18"/>
      <c r="AD42"/>
      <c r="AE42" s="18"/>
      <c r="AF42" s="12"/>
    </row>
    <row r="43" outlineLevel="1" hidden="0">
      <c r="A43" s="7" t="s">
        <v>15</v>
      </c>
      <c r="B43" t="s">
        <v>47</v>
      </c>
      <c r="C43" s="18" t="n">
        <v>0.728205128205128</v>
      </c>
      <c r="D43" t="n">
        <v>195</v>
      </c>
      <c r="E43" s="18" t="n">
        <v>0.333333333333333</v>
      </c>
      <c r="F43" t="n">
        <v>138</v>
      </c>
      <c r="G43" s="18" t="n">
        <v>0.267605633802817</v>
      </c>
      <c r="H43" t="n">
        <v>142</v>
      </c>
      <c r="I43" s="18" t="n">
        <v>0.0444444444444444</v>
      </c>
      <c r="J43" t="n">
        <v>135</v>
      </c>
      <c r="K43" s="18" t="n">
        <v>0.00740740740740741</v>
      </c>
      <c r="L43" t="n">
        <v>135</v>
      </c>
      <c r="M43" s="18" t="n">
        <v>0.731182795698925</v>
      </c>
      <c r="N43" t="n">
        <v>93</v>
      </c>
      <c r="O43" s="18" t="n">
        <v>0.358208955223881</v>
      </c>
      <c r="P43" t="n">
        <v>67</v>
      </c>
      <c r="Q43" s="18" t="n">
        <v>0.294117647058824</v>
      </c>
      <c r="R43" t="n">
        <v>68</v>
      </c>
      <c r="S43" s="18" t="n">
        <v>0.0476190476190476</v>
      </c>
      <c r="T43" t="n">
        <v>63</v>
      </c>
      <c r="U43" s="18" t="n">
        <v>0.015625</v>
      </c>
      <c r="V43" t="n">
        <v>64</v>
      </c>
      <c r="W43" s="18" t="n">
        <v>0.725490196078431</v>
      </c>
      <c r="X43" t="n">
        <v>102</v>
      </c>
      <c r="Y43" s="18" t="n">
        <v>0.309859154929577</v>
      </c>
      <c r="Z43" t="n">
        <v>71</v>
      </c>
      <c r="AA43" s="18" t="n">
        <v>0.243243243243243</v>
      </c>
      <c r="AB43" t="n">
        <v>74</v>
      </c>
      <c r="AC43" s="18" t="n">
        <v>0.0416666666666667</v>
      </c>
      <c r="AD43" t="n">
        <v>72</v>
      </c>
      <c r="AE43" s="18"/>
      <c r="AF43" s="12"/>
    </row>
    <row r="44" outlineLevel="1" hidden="0">
      <c r="A44" s="7" t="s">
        <v>15</v>
      </c>
      <c r="B44" t="s">
        <v>48</v>
      </c>
      <c r="C44" s="18" t="n">
        <v>0.867647058823529</v>
      </c>
      <c r="D44" t="n">
        <v>204</v>
      </c>
      <c r="E44" s="18" t="n">
        <v>0.298780487804878</v>
      </c>
      <c r="F44" t="n">
        <v>164</v>
      </c>
      <c r="G44" s="18" t="n">
        <v>0.318181818181818</v>
      </c>
      <c r="H44" t="n">
        <v>176</v>
      </c>
      <c r="I44" s="18" t="n">
        <v>0.00609756097560976</v>
      </c>
      <c r="J44" t="n">
        <v>164</v>
      </c>
      <c r="K44" s="18" t="n">
        <v>0.00613496932515337</v>
      </c>
      <c r="L44" t="n">
        <v>163</v>
      </c>
      <c r="M44" s="18" t="n">
        <v>0.875</v>
      </c>
      <c r="N44" t="n">
        <v>112</v>
      </c>
      <c r="O44" s="18" t="n">
        <v>0.326086956521739</v>
      </c>
      <c r="P44" t="n">
        <v>92</v>
      </c>
      <c r="Q44" s="18" t="n">
        <v>0.288659793814433</v>
      </c>
      <c r="R44" t="n">
        <v>97</v>
      </c>
      <c r="S44" s="18"/>
      <c r="T44"/>
      <c r="U44" s="18" t="n">
        <v>0.0111111111111111</v>
      </c>
      <c r="V44" t="n">
        <v>90</v>
      </c>
      <c r="W44" s="18" t="n">
        <v>0.858695652173913</v>
      </c>
      <c r="X44" t="n">
        <v>92</v>
      </c>
      <c r="Y44" s="18" t="n">
        <v>0.263888888888889</v>
      </c>
      <c r="Z44" t="n">
        <v>72</v>
      </c>
      <c r="AA44" s="18" t="n">
        <v>0.354430379746835</v>
      </c>
      <c r="AB44" t="n">
        <v>79</v>
      </c>
      <c r="AC44" s="18" t="n">
        <v>0.0135135135135135</v>
      </c>
      <c r="AD44" t="n">
        <v>74</v>
      </c>
      <c r="AE44" s="18"/>
      <c r="AF44" s="12"/>
    </row>
    <row r="45" outlineLevel="1" hidden="0">
      <c r="A45" s="7" t="s">
        <v>15</v>
      </c>
      <c r="B45" t="s">
        <v>49</v>
      </c>
      <c r="C45" s="18" t="n">
        <v>0.838888888888889</v>
      </c>
      <c r="D45" t="n">
        <v>180</v>
      </c>
      <c r="E45" s="18" t="n">
        <v>0.295302013422819</v>
      </c>
      <c r="F45" t="n">
        <v>149</v>
      </c>
      <c r="G45" s="18" t="n">
        <v>0.0933333333333333</v>
      </c>
      <c r="H45" t="n">
        <v>150</v>
      </c>
      <c r="I45" s="18" t="n">
        <v>0.00671140939597315</v>
      </c>
      <c r="J45" t="n">
        <v>149</v>
      </c>
      <c r="K45" s="18"/>
      <c r="L45"/>
      <c r="M45" s="18" t="n">
        <v>0.847058823529412</v>
      </c>
      <c r="N45" t="n">
        <v>85</v>
      </c>
      <c r="O45" s="18" t="n">
        <v>0.23943661971831</v>
      </c>
      <c r="P45" t="n">
        <v>71</v>
      </c>
      <c r="Q45" s="18" t="n">
        <v>0.0694444444444444</v>
      </c>
      <c r="R45" t="n">
        <v>72</v>
      </c>
      <c r="S45" s="18" t="n">
        <v>0.0142857142857143</v>
      </c>
      <c r="T45" t="n">
        <v>70</v>
      </c>
      <c r="U45" s="18"/>
      <c r="V45"/>
      <c r="W45" s="18" t="n">
        <v>0.831578947368421</v>
      </c>
      <c r="X45" t="n">
        <v>95</v>
      </c>
      <c r="Y45" s="18" t="n">
        <v>0.346153846153846</v>
      </c>
      <c r="Z45" t="n">
        <v>78</v>
      </c>
      <c r="AA45" s="18" t="n">
        <v>0.115384615384615</v>
      </c>
      <c r="AB45" t="n">
        <v>78</v>
      </c>
      <c r="AC45" s="18"/>
      <c r="AD45"/>
      <c r="AE45" s="18"/>
      <c r="AF45" s="12"/>
    </row>
    <row r="46" outlineLevel="1" hidden="0">
      <c r="A46" s="7" t="s">
        <v>15</v>
      </c>
      <c r="B46" t="s">
        <v>50</v>
      </c>
      <c r="C46" s="18" t="n">
        <v>0.863636363636364</v>
      </c>
      <c r="D46" t="n">
        <v>198</v>
      </c>
      <c r="E46" s="18" t="n">
        <v>0.112426035502959</v>
      </c>
      <c r="F46" t="n">
        <v>169</v>
      </c>
      <c r="G46" s="18" t="n">
        <v>0.0647058823529412</v>
      </c>
      <c r="H46" t="n">
        <v>170</v>
      </c>
      <c r="I46" s="18" t="n">
        <v>0.0295857988165681</v>
      </c>
      <c r="J46" t="n">
        <v>169</v>
      </c>
      <c r="K46" s="18" t="n">
        <v>0.0117647058823529</v>
      </c>
      <c r="L46" t="n">
        <v>170</v>
      </c>
      <c r="M46" s="18" t="n">
        <v>0.858490566037736</v>
      </c>
      <c r="N46" t="n">
        <v>106</v>
      </c>
      <c r="O46" s="18" t="n">
        <v>0.123595505617978</v>
      </c>
      <c r="P46" t="n">
        <v>89</v>
      </c>
      <c r="Q46" s="18" t="n">
        <v>0.0555555555555556</v>
      </c>
      <c r="R46" t="n">
        <v>90</v>
      </c>
      <c r="S46" s="18" t="n">
        <v>0.0333333333333333</v>
      </c>
      <c r="T46" t="n">
        <v>90</v>
      </c>
      <c r="U46" s="18" t="n">
        <v>0.0222222222222222</v>
      </c>
      <c r="V46" t="n">
        <v>90</v>
      </c>
      <c r="W46" s="18" t="n">
        <v>0.869565217391304</v>
      </c>
      <c r="X46" t="n">
        <v>92</v>
      </c>
      <c r="Y46" s="18" t="n">
        <v>0.1</v>
      </c>
      <c r="Z46" t="n">
        <v>80</v>
      </c>
      <c r="AA46" s="18" t="n">
        <v>0.075</v>
      </c>
      <c r="AB46" t="n">
        <v>80</v>
      </c>
      <c r="AC46" s="18" t="n">
        <v>0.0253164556962025</v>
      </c>
      <c r="AD46" t="n">
        <v>79</v>
      </c>
      <c r="AE46" s="18"/>
      <c r="AF46" s="12"/>
    </row>
    <row r="47" outlineLevel="1" hidden="0">
      <c r="A47" s="7" t="s">
        <v>15</v>
      </c>
      <c r="B47" t="s">
        <v>51</v>
      </c>
      <c r="C47" s="18" t="n">
        <v>0.935483870967742</v>
      </c>
      <c r="D47" t="n">
        <v>124</v>
      </c>
      <c r="E47" s="18" t="n">
        <v>0.087719298245614</v>
      </c>
      <c r="F47" t="n">
        <v>114</v>
      </c>
      <c r="G47" s="18" t="n">
        <v>0.0258620689655172</v>
      </c>
      <c r="H47" t="n">
        <v>116</v>
      </c>
      <c r="I47" s="18" t="n">
        <v>0.0263157894736842</v>
      </c>
      <c r="J47" t="n">
        <v>114</v>
      </c>
      <c r="K47" s="18"/>
      <c r="L47"/>
      <c r="M47" s="18" t="n">
        <v>0.951612903225806</v>
      </c>
      <c r="N47" t="n">
        <v>62</v>
      </c>
      <c r="O47" s="18" t="n">
        <v>0.0847457627118644</v>
      </c>
      <c r="P47" t="n">
        <v>59</v>
      </c>
      <c r="Q47" s="18" t="n">
        <v>0.0508474576271186</v>
      </c>
      <c r="R47" t="n">
        <v>59</v>
      </c>
      <c r="S47" s="18" t="n">
        <v>0.0350877192982456</v>
      </c>
      <c r="T47" t="n">
        <v>57</v>
      </c>
      <c r="U47" s="18"/>
      <c r="V47"/>
      <c r="W47" s="18" t="n">
        <v>0.919354838709677</v>
      </c>
      <c r="X47" t="n">
        <v>62</v>
      </c>
      <c r="Y47" s="18" t="n">
        <v>0.0909090909090909</v>
      </c>
      <c r="Z47" t="n">
        <v>55</v>
      </c>
      <c r="AA47" s="18"/>
      <c r="AB47"/>
      <c r="AC47" s="18" t="n">
        <v>0.0175438596491228</v>
      </c>
      <c r="AD47" t="n">
        <v>57</v>
      </c>
      <c r="AE47" s="18"/>
      <c r="AF47" s="12"/>
    </row>
    <row r="48" outlineLevel="1" hidden="0">
      <c r="A48" s="7" t="s">
        <v>15</v>
      </c>
      <c r="B48" t="s">
        <v>52</v>
      </c>
      <c r="C48" s="18" t="n">
        <v>0.830334190231363</v>
      </c>
      <c r="D48" t="n">
        <v>778</v>
      </c>
      <c r="E48" s="18" t="n">
        <v>0.423140495867769</v>
      </c>
      <c r="F48" t="n">
        <v>605</v>
      </c>
      <c r="G48" s="18" t="n">
        <v>0.093603744149766</v>
      </c>
      <c r="H48" t="n">
        <v>641</v>
      </c>
      <c r="I48" s="18" t="n">
        <v>0.0848</v>
      </c>
      <c r="J48" t="n">
        <v>625</v>
      </c>
      <c r="K48" s="18" t="n">
        <v>0.198373983739837</v>
      </c>
      <c r="L48" t="n">
        <v>615</v>
      </c>
      <c r="M48" s="18" t="n">
        <v>0.85377358490566</v>
      </c>
      <c r="N48" t="n">
        <v>424</v>
      </c>
      <c r="O48" s="18" t="n">
        <v>0.440476190476191</v>
      </c>
      <c r="P48" t="n">
        <v>336</v>
      </c>
      <c r="Q48" s="18" t="n">
        <v>0.0947075208913649</v>
      </c>
      <c r="R48" t="n">
        <v>359</v>
      </c>
      <c r="S48" s="18" t="n">
        <v>0.102564102564103</v>
      </c>
      <c r="T48" t="n">
        <v>351</v>
      </c>
      <c r="U48" s="18" t="n">
        <v>0.182890855457227</v>
      </c>
      <c r="V48" t="n">
        <v>339</v>
      </c>
      <c r="W48" s="18" t="n">
        <v>0.80225988700565</v>
      </c>
      <c r="X48" t="n">
        <v>354</v>
      </c>
      <c r="Y48" s="18" t="n">
        <v>0.401486988847584</v>
      </c>
      <c r="Z48" t="n">
        <v>269</v>
      </c>
      <c r="AA48" s="18" t="n">
        <v>0.0921985815602837</v>
      </c>
      <c r="AB48" t="n">
        <v>282</v>
      </c>
      <c r="AC48" s="18" t="n">
        <v>0.062043795620438</v>
      </c>
      <c r="AD48" t="n">
        <v>274</v>
      </c>
      <c r="AE48" s="18" t="n">
        <v>0.217391304347826</v>
      </c>
      <c r="AF48" s="12" t="n">
        <v>276</v>
      </c>
    </row>
    <row r="49" outlineLevel="1" hidden="0">
      <c r="A49" s="7" t="s">
        <v>15</v>
      </c>
      <c r="B49" t="s">
        <v>53</v>
      </c>
      <c r="C49" s="18" t="n">
        <v>0.756972111553785</v>
      </c>
      <c r="D49" t="n">
        <v>251</v>
      </c>
      <c r="E49" s="18" t="n">
        <v>0.255434782608696</v>
      </c>
      <c r="F49" t="n">
        <v>184</v>
      </c>
      <c r="G49" s="18" t="n">
        <v>0.285714285714286</v>
      </c>
      <c r="H49" t="n">
        <v>189</v>
      </c>
      <c r="I49" s="18" t="n">
        <v>0.0621468926553672</v>
      </c>
      <c r="J49" t="n">
        <v>177</v>
      </c>
      <c r="K49" s="18" t="n">
        <v>0.021505376344086</v>
      </c>
      <c r="L49" t="n">
        <v>186</v>
      </c>
      <c r="M49" s="18" t="n">
        <v>0.72972972972973</v>
      </c>
      <c r="N49" t="n">
        <v>111</v>
      </c>
      <c r="O49" s="18" t="n">
        <v>0.307692307692308</v>
      </c>
      <c r="P49" t="n">
        <v>78</v>
      </c>
      <c r="Q49" s="18" t="n">
        <v>0.3</v>
      </c>
      <c r="R49" t="n">
        <v>80</v>
      </c>
      <c r="S49" s="18" t="n">
        <v>0.012987012987013</v>
      </c>
      <c r="T49" t="n">
        <v>77</v>
      </c>
      <c r="U49" s="18" t="n">
        <v>0.0256410256410256</v>
      </c>
      <c r="V49" t="n">
        <v>78</v>
      </c>
      <c r="W49" s="18" t="n">
        <v>0.778571428571429</v>
      </c>
      <c r="X49" t="n">
        <v>140</v>
      </c>
      <c r="Y49" s="18" t="n">
        <v>0.216981132075472</v>
      </c>
      <c r="Z49" t="n">
        <v>106</v>
      </c>
      <c r="AA49" s="18" t="n">
        <v>0.275229357798165</v>
      </c>
      <c r="AB49" t="n">
        <v>109</v>
      </c>
      <c r="AC49" s="18" t="n">
        <v>0.1</v>
      </c>
      <c r="AD49" t="n">
        <v>100</v>
      </c>
      <c r="AE49" s="18" t="n">
        <v>0.0185185185185185</v>
      </c>
      <c r="AF49" s="12" t="n">
        <v>108</v>
      </c>
    </row>
    <row r="50" outlineLevel="1" hidden="0">
      <c r="A50" s="7" t="s">
        <v>15</v>
      </c>
      <c r="B50" t="s">
        <v>54</v>
      </c>
      <c r="C50" s="18" t="n">
        <v>0.91</v>
      </c>
      <c r="D50" t="n">
        <v>200</v>
      </c>
      <c r="E50" s="18" t="n">
        <v>0.223463687150838</v>
      </c>
      <c r="F50" t="n">
        <v>179</v>
      </c>
      <c r="G50" s="18" t="n">
        <v>0.120879120879121</v>
      </c>
      <c r="H50" t="n">
        <v>182</v>
      </c>
      <c r="I50" s="18" t="n">
        <v>0.0282485875706215</v>
      </c>
      <c r="J50" t="n">
        <v>177</v>
      </c>
      <c r="K50" s="18" t="n">
        <v>0.0111111111111111</v>
      </c>
      <c r="L50" t="n">
        <v>180</v>
      </c>
      <c r="M50" s="18" t="n">
        <v>0.894230769230769</v>
      </c>
      <c r="N50" t="n">
        <v>104</v>
      </c>
      <c r="O50" s="18" t="n">
        <v>0.239130434782609</v>
      </c>
      <c r="P50" t="n">
        <v>92</v>
      </c>
      <c r="Q50" s="18" t="n">
        <v>0.150537634408602</v>
      </c>
      <c r="R50" t="n">
        <v>93</v>
      </c>
      <c r="S50" s="18"/>
      <c r="T50"/>
      <c r="U50" s="18" t="n">
        <v>0.021978021978022</v>
      </c>
      <c r="V50" t="n">
        <v>91</v>
      </c>
      <c r="W50" s="18" t="n">
        <v>0.927083333333333</v>
      </c>
      <c r="X50" t="n">
        <v>96</v>
      </c>
      <c r="Y50" s="18" t="n">
        <v>0.206896551724138</v>
      </c>
      <c r="Z50" t="n">
        <v>87</v>
      </c>
      <c r="AA50" s="18" t="n">
        <v>0.0898876404494382</v>
      </c>
      <c r="AB50" t="n">
        <v>89</v>
      </c>
      <c r="AC50" s="18" t="n">
        <v>0.0581395348837209</v>
      </c>
      <c r="AD50" t="n">
        <v>86</v>
      </c>
      <c r="AE50" s="18"/>
      <c r="AF50" s="12"/>
    </row>
    <row r="51" outlineLevel="1" hidden="0">
      <c r="A51" s="7" t="s">
        <v>15</v>
      </c>
      <c r="B51" t="s">
        <v>55</v>
      </c>
      <c r="C51" s="18" t="n">
        <v>0.871951219512195</v>
      </c>
      <c r="D51" t="n">
        <v>164</v>
      </c>
      <c r="E51" s="18" t="n">
        <v>0.293706293706294</v>
      </c>
      <c r="F51" t="n">
        <v>143</v>
      </c>
      <c r="G51" s="18" t="n">
        <v>0.0699300699300699</v>
      </c>
      <c r="H51" t="n">
        <v>143</v>
      </c>
      <c r="I51" s="18" t="n">
        <v>0.048951048951049</v>
      </c>
      <c r="J51" t="n">
        <v>143</v>
      </c>
      <c r="K51" s="18"/>
      <c r="L51"/>
      <c r="M51" s="18" t="n">
        <v>0.916666666666667</v>
      </c>
      <c r="N51" t="n">
        <v>72</v>
      </c>
      <c r="O51" s="18" t="n">
        <v>0.348484848484849</v>
      </c>
      <c r="P51" t="n">
        <v>66</v>
      </c>
      <c r="Q51" s="18" t="n">
        <v>0.0454545454545455</v>
      </c>
      <c r="R51" t="n">
        <v>66</v>
      </c>
      <c r="S51" s="18" t="n">
        <v>0.0454545454545455</v>
      </c>
      <c r="T51" t="n">
        <v>66</v>
      </c>
      <c r="U51" s="18"/>
      <c r="V51"/>
      <c r="W51" s="18" t="n">
        <v>0.83695652173913</v>
      </c>
      <c r="X51" t="n">
        <v>92</v>
      </c>
      <c r="Y51" s="18" t="n">
        <v>0.246753246753247</v>
      </c>
      <c r="Z51" t="n">
        <v>77</v>
      </c>
      <c r="AA51" s="18" t="n">
        <v>0.0909090909090909</v>
      </c>
      <c r="AB51" t="n">
        <v>77</v>
      </c>
      <c r="AC51" s="18" t="n">
        <v>0.0519480519480519</v>
      </c>
      <c r="AD51" t="n">
        <v>77</v>
      </c>
      <c r="AE51" s="18"/>
      <c r="AF51" s="12"/>
    </row>
    <row r="52" outlineLevel="1" hidden="0">
      <c r="A52" s="8" t="s">
        <v>15</v>
      </c>
      <c r="B52" s="10" t="s">
        <v>56</v>
      </c>
      <c r="C52" s="17" t="n">
        <v>0.8125</v>
      </c>
      <c r="D52" s="10" t="n">
        <v>160</v>
      </c>
      <c r="E52" s="17" t="n">
        <v>0.215384615384615</v>
      </c>
      <c r="F52" s="10" t="n">
        <v>130</v>
      </c>
      <c r="G52" s="17" t="n">
        <v>0.107692307692308</v>
      </c>
      <c r="H52" s="10" t="n">
        <v>130</v>
      </c>
      <c r="I52" s="17" t="n">
        <v>0.0769230769230769</v>
      </c>
      <c r="J52" s="10" t="n">
        <v>130</v>
      </c>
      <c r="K52" s="17"/>
      <c r="L52" s="10"/>
      <c r="M52" s="17" t="n">
        <v>0.827586206896552</v>
      </c>
      <c r="N52" s="10" t="n">
        <v>87</v>
      </c>
      <c r="O52" s="17" t="n">
        <v>0.208333333333333</v>
      </c>
      <c r="P52" s="10" t="n">
        <v>72</v>
      </c>
      <c r="Q52" s="17" t="n">
        <v>0.111111111111111</v>
      </c>
      <c r="R52" s="10" t="n">
        <v>72</v>
      </c>
      <c r="S52" s="17" t="n">
        <v>0.0972222222222222</v>
      </c>
      <c r="T52" s="10" t="n">
        <v>72</v>
      </c>
      <c r="U52" s="17"/>
      <c r="V52" s="10"/>
      <c r="W52" s="17" t="n">
        <v>0.794520547945205</v>
      </c>
      <c r="X52" s="10" t="n">
        <v>73</v>
      </c>
      <c r="Y52" s="17" t="n">
        <v>0.224137931034483</v>
      </c>
      <c r="Z52" s="10" t="n">
        <v>58</v>
      </c>
      <c r="AA52" s="17" t="n">
        <v>0.103448275862069</v>
      </c>
      <c r="AB52" s="10" t="n">
        <v>58</v>
      </c>
      <c r="AC52" s="17" t="n">
        <v>0.0517241379310345</v>
      </c>
      <c r="AD52" s="10" t="n">
        <v>58</v>
      </c>
      <c r="AE52" s="17"/>
      <c r="AF52" s="13"/>
    </row>
    <row r="53">
      <c r="C53" s="18"/>
      <c r="E53" s="18"/>
      <c r="G53" s="18"/>
      <c r="I53" s="18"/>
      <c r="K53" s="18"/>
      <c r="M53" s="18"/>
      <c r="O53" s="18"/>
      <c r="Q53" s="18"/>
      <c r="S53" s="18"/>
      <c r="U53" s="18"/>
      <c r="W53" s="18"/>
      <c r="Y53" s="18"/>
      <c r="AA53" s="18"/>
      <c r="AC53" s="18"/>
      <c r="AE53" s="18"/>
    </row>
    <row r="54">
      <c r="A54" s="2" t="s">
        <v>57</v>
      </c>
      <c r="B54" s="2"/>
      <c r="C54" s="14"/>
      <c r="D54" s="2"/>
      <c r="E54" s="14"/>
      <c r="F54" s="2"/>
      <c r="G54" s="14"/>
      <c r="H54" s="2"/>
      <c r="I54" s="14"/>
      <c r="J54" s="2"/>
      <c r="K54" s="14"/>
      <c r="L54" s="2"/>
      <c r="M54" s="14"/>
      <c r="N54" s="2"/>
      <c r="O54" s="14"/>
      <c r="P54" s="2"/>
      <c r="Q54" s="14"/>
      <c r="R54" s="2"/>
      <c r="S54" s="14"/>
      <c r="T54" s="2"/>
      <c r="U54" s="14"/>
      <c r="V54" s="2"/>
      <c r="W54" s="14"/>
      <c r="X54" s="2"/>
      <c r="Y54" s="14"/>
      <c r="Z54" s="2"/>
      <c r="AA54" s="14"/>
      <c r="AB54" s="2"/>
      <c r="AC54" s="14"/>
      <c r="AD54" s="2"/>
      <c r="AE54" s="14"/>
      <c r="AF54" s="2"/>
    </row>
    <row r="55" outlineLevel="1" hidden="0">
      <c r="A55" s="6" t="s">
        <v>15</v>
      </c>
      <c r="B55" s="9" t="s">
        <v>58</v>
      </c>
      <c r="C55" s="16" t="n">
        <v>0.833333333333333</v>
      </c>
      <c r="D55" s="9" t="n">
        <v>6</v>
      </c>
      <c r="E55" s="16" t="n">
        <v>0.2</v>
      </c>
      <c r="F55" s="9" t="n">
        <v>5</v>
      </c>
      <c r="G55" s="16"/>
      <c r="H55" s="9"/>
      <c r="I55" s="16"/>
      <c r="J55" s="9"/>
      <c r="K55" s="16"/>
      <c r="L55" s="9"/>
      <c r="M55" s="16" t="n">
        <v>1</v>
      </c>
      <c r="N55" s="9" t="n">
        <v>2</v>
      </c>
      <c r="O55" s="16" t="n">
        <v>0.5</v>
      </c>
      <c r="P55" s="9" t="n">
        <v>2</v>
      </c>
      <c r="Q55" s="16"/>
      <c r="R55" s="9"/>
      <c r="S55" s="16"/>
      <c r="T55" s="9"/>
      <c r="U55" s="16"/>
      <c r="V55" s="9"/>
      <c r="W55" s="16" t="n">
        <v>0.75</v>
      </c>
      <c r="X55" s="9" t="n">
        <v>4</v>
      </c>
      <c r="Y55" s="16"/>
      <c r="Z55" s="9"/>
      <c r="AA55" s="16"/>
      <c r="AB55" s="9"/>
      <c r="AC55" s="16"/>
      <c r="AD55" s="9"/>
      <c r="AE55" s="16"/>
      <c r="AF55" s="11"/>
    </row>
    <row r="56" outlineLevel="1" hidden="0">
      <c r="A56" s="7" t="s">
        <v>15</v>
      </c>
      <c r="B56" t="s">
        <v>59</v>
      </c>
      <c r="C56" s="18" t="n">
        <v>0.800502722139639</v>
      </c>
      <c r="D56" t="n">
        <v>550</v>
      </c>
      <c r="E56" s="18" t="n">
        <v>0.23153506036436</v>
      </c>
      <c r="F56" t="n">
        <v>426</v>
      </c>
      <c r="G56" s="18" t="n">
        <v>0.109458700521279</v>
      </c>
      <c r="H56" t="n">
        <v>427</v>
      </c>
      <c r="I56" s="18" t="n">
        <v>0.0553150109026673</v>
      </c>
      <c r="J56" t="n">
        <v>415</v>
      </c>
      <c r="K56" s="18" t="n">
        <v>0.0145008302275193</v>
      </c>
      <c r="L56" t="n">
        <v>415</v>
      </c>
      <c r="M56" s="18" t="n">
        <v>0.848144378059237</v>
      </c>
      <c r="N56" t="n">
        <v>283</v>
      </c>
      <c r="O56" s="18" t="n">
        <v>0.250029882004678</v>
      </c>
      <c r="P56" t="n">
        <v>224</v>
      </c>
      <c r="Q56" s="18" t="n">
        <v>0.134585660669972</v>
      </c>
      <c r="R56" t="n">
        <v>226</v>
      </c>
      <c r="S56" s="18" t="n">
        <v>0.0614491906582588</v>
      </c>
      <c r="T56" t="n">
        <v>217</v>
      </c>
      <c r="U56" s="18" t="n">
        <v>0.0144597497611928</v>
      </c>
      <c r="V56" t="n">
        <v>215</v>
      </c>
      <c r="W56" s="18" t="n">
        <v>0.751810929660585</v>
      </c>
      <c r="X56" t="n">
        <v>267</v>
      </c>
      <c r="Y56" s="18" t="n">
        <v>0.210172738051969</v>
      </c>
      <c r="Z56" t="n">
        <v>202</v>
      </c>
      <c r="AA56" s="18" t="n">
        <v>0.0803575151522818</v>
      </c>
      <c r="AB56" t="n">
        <v>201</v>
      </c>
      <c r="AC56" s="18" t="n">
        <v>0.0483126990297607</v>
      </c>
      <c r="AD56" t="n">
        <v>198</v>
      </c>
      <c r="AE56" s="18" t="n">
        <v>0.0145466980531815</v>
      </c>
      <c r="AF56" s="12" t="n">
        <v>200</v>
      </c>
    </row>
    <row r="57" outlineLevel="1" hidden="0">
      <c r="A57" s="7" t="s">
        <v>15</v>
      </c>
      <c r="B57" t="s">
        <v>60</v>
      </c>
      <c r="C57" s="18" t="n">
        <v>1</v>
      </c>
      <c r="D57" t="n">
        <v>2</v>
      </c>
      <c r="E57" s="18"/>
      <c r="F57"/>
      <c r="G57" s="18"/>
      <c r="H57"/>
      <c r="I57" s="18"/>
      <c r="J57"/>
      <c r="K57" s="18"/>
      <c r="L57"/>
      <c r="M57" s="18" t="n">
        <v>1</v>
      </c>
      <c r="N57" t="n">
        <v>1</v>
      </c>
      <c r="O57" s="18"/>
      <c r="P57"/>
      <c r="Q57" s="18"/>
      <c r="R57"/>
      <c r="S57" s="18"/>
      <c r="T57"/>
      <c r="U57" s="18"/>
      <c r="V57"/>
      <c r="W57" s="18" t="n">
        <v>1</v>
      </c>
      <c r="X57" t="n">
        <v>1</v>
      </c>
      <c r="Y57" s="18"/>
      <c r="Z57"/>
      <c r="AA57" s="18"/>
      <c r="AB57"/>
      <c r="AC57" s="18"/>
      <c r="AD57"/>
      <c r="AE57" s="18"/>
      <c r="AF57" s="12"/>
    </row>
    <row r="58" outlineLevel="1" hidden="0">
      <c r="A58" s="7" t="s">
        <v>15</v>
      </c>
      <c r="B58" t="s">
        <v>61</v>
      </c>
      <c r="C58" s="18" t="n">
        <v>0.398185352053542</v>
      </c>
      <c r="D58" t="n">
        <v>16</v>
      </c>
      <c r="E58" s="18" t="n">
        <v>0.257904442813784</v>
      </c>
      <c r="F58" t="n">
        <v>6</v>
      </c>
      <c r="G58" s="18" t="n">
        <v>0.396737021071592</v>
      </c>
      <c r="H58" t="n">
        <v>9</v>
      </c>
      <c r="I58" s="18"/>
      <c r="J58"/>
      <c r="K58" s="18"/>
      <c r="L58"/>
      <c r="M58" s="18" t="n">
        <v>0.343422368002267</v>
      </c>
      <c r="N58" t="n">
        <v>12</v>
      </c>
      <c r="O58" s="18" t="n">
        <v>0.401076734076854</v>
      </c>
      <c r="P58" t="n">
        <v>3</v>
      </c>
      <c r="Q58" s="18" t="n">
        <v>0.452333218147039</v>
      </c>
      <c r="R58" t="n">
        <v>6</v>
      </c>
      <c r="S58" s="18"/>
      <c r="T58"/>
      <c r="U58" s="18"/>
      <c r="V58"/>
      <c r="W58" s="18" t="n">
        <v>0.580557429965357</v>
      </c>
      <c r="X58" t="n">
        <v>4</v>
      </c>
      <c r="Y58" s="18"/>
      <c r="Z58"/>
      <c r="AA58" s="18" t="n">
        <v>0.287215436614041</v>
      </c>
      <c r="AB58" t="n">
        <v>3</v>
      </c>
      <c r="AC58" s="18"/>
      <c r="AD58"/>
      <c r="AE58" s="18"/>
      <c r="AF58" s="12"/>
    </row>
    <row r="59" outlineLevel="1" hidden="0">
      <c r="A59" s="7" t="s">
        <v>15</v>
      </c>
      <c r="B59" t="s">
        <v>62</v>
      </c>
      <c r="C59" s="18" t="n">
        <v>0.79831213113205</v>
      </c>
      <c r="D59" t="n">
        <v>2</v>
      </c>
      <c r="E59" s="18"/>
      <c r="F59"/>
      <c r="G59" s="18"/>
      <c r="H59"/>
      <c r="I59" s="18"/>
      <c r="J59"/>
      <c r="K59" s="18"/>
      <c r="L59"/>
      <c r="M59" s="18" t="n">
        <v>1</v>
      </c>
      <c r="N59" t="n">
        <v>1</v>
      </c>
      <c r="O59" s="18"/>
      <c r="P59"/>
      <c r="Q59" s="18"/>
      <c r="R59"/>
      <c r="S59" s="18"/>
      <c r="T59"/>
      <c r="U59" s="18"/>
      <c r="V59"/>
      <c r="W59" s="18"/>
      <c r="X59"/>
      <c r="Y59" s="18"/>
      <c r="Z59"/>
      <c r="AA59" s="18"/>
      <c r="AB59"/>
      <c r="AC59" s="18"/>
      <c r="AD59"/>
      <c r="AE59" s="18"/>
      <c r="AF59" s="12"/>
    </row>
    <row r="60" outlineLevel="1" hidden="0">
      <c r="A60" s="7" t="s">
        <v>15</v>
      </c>
      <c r="B60" t="s">
        <v>63</v>
      </c>
      <c r="C60" s="18" t="n">
        <v>0.919029525955638</v>
      </c>
      <c r="D60" t="n">
        <v>66</v>
      </c>
      <c r="E60" s="18" t="n">
        <v>0.412169155454133</v>
      </c>
      <c r="F60" t="n">
        <v>59</v>
      </c>
      <c r="G60" s="18" t="n">
        <v>0.105517155907773</v>
      </c>
      <c r="H60" t="n">
        <v>60</v>
      </c>
      <c r="I60" s="18" t="n">
        <v>0.11844880291951</v>
      </c>
      <c r="J60" t="n">
        <v>60</v>
      </c>
      <c r="K60" s="18" t="n">
        <v>0.106871656018256</v>
      </c>
      <c r="L60" t="n">
        <v>58</v>
      </c>
      <c r="M60" s="18" t="n">
        <v>0.9681668667669</v>
      </c>
      <c r="N60" t="n">
        <v>34</v>
      </c>
      <c r="O60" s="18" t="n">
        <v>0.49808073402714</v>
      </c>
      <c r="P60" t="n">
        <v>31</v>
      </c>
      <c r="Q60" s="18" t="n">
        <v>0.0535154176152812</v>
      </c>
      <c r="R60" t="n">
        <v>32</v>
      </c>
      <c r="S60" s="18" t="n">
        <v>0.0633389050998876</v>
      </c>
      <c r="T60" t="n">
        <v>32</v>
      </c>
      <c r="U60" s="18" t="n">
        <v>0.0908496644941197</v>
      </c>
      <c r="V60" t="n">
        <v>30</v>
      </c>
      <c r="W60" s="18" t="n">
        <v>0.87682407013621</v>
      </c>
      <c r="X60" t="n">
        <v>32</v>
      </c>
      <c r="Y60" s="18" t="n">
        <v>0.335850821957894</v>
      </c>
      <c r="Z60" t="n">
        <v>28</v>
      </c>
      <c r="AA60" s="18" t="n">
        <v>0.154835962487881</v>
      </c>
      <c r="AB60" t="n">
        <v>28</v>
      </c>
      <c r="AC60" s="18" t="n">
        <v>0.17071540939193</v>
      </c>
      <c r="AD60" t="n">
        <v>28</v>
      </c>
      <c r="AE60" s="18" t="n">
        <v>0.120142107252142</v>
      </c>
      <c r="AF60" s="12" t="n">
        <v>28</v>
      </c>
    </row>
    <row r="61" outlineLevel="1" hidden="0">
      <c r="A61" s="7" t="s">
        <v>15</v>
      </c>
      <c r="B61" t="s">
        <v>64</v>
      </c>
      <c r="C61" s="18" t="n">
        <v>1</v>
      </c>
      <c r="D61" t="n">
        <v>9</v>
      </c>
      <c r="E61" s="18" t="n">
        <v>0.880760161659524</v>
      </c>
      <c r="F61" t="n">
        <v>9</v>
      </c>
      <c r="G61" s="18" t="n">
        <v>0.215569566689595</v>
      </c>
      <c r="H61" t="n">
        <v>9</v>
      </c>
      <c r="I61" s="18"/>
      <c r="J61"/>
      <c r="K61" s="18"/>
      <c r="L61"/>
      <c r="M61" s="18" t="n">
        <v>1</v>
      </c>
      <c r="N61" t="n">
        <v>5</v>
      </c>
      <c r="O61" s="18" t="n">
        <v>0.760802248914824</v>
      </c>
      <c r="P61" t="n">
        <v>5</v>
      </c>
      <c r="Q61" s="18" t="n">
        <v>0.227047434838374</v>
      </c>
      <c r="R61" t="n">
        <v>5</v>
      </c>
      <c r="S61" s="18"/>
      <c r="T61"/>
      <c r="U61" s="18"/>
      <c r="V61"/>
      <c r="W61" s="18" t="n">
        <v>1</v>
      </c>
      <c r="X61" t="n">
        <v>4</v>
      </c>
      <c r="Y61" s="18" t="n">
        <v>1</v>
      </c>
      <c r="Z61" t="n">
        <v>4</v>
      </c>
      <c r="AA61" s="18" t="n">
        <v>0.204160405666041</v>
      </c>
      <c r="AB61" t="n">
        <v>4</v>
      </c>
      <c r="AC61" s="18"/>
      <c r="AD61"/>
      <c r="AE61" s="18"/>
      <c r="AF61" s="12"/>
    </row>
    <row r="62" outlineLevel="1" hidden="0">
      <c r="A62" s="7" t="s">
        <v>15</v>
      </c>
      <c r="B62" t="s">
        <v>65</v>
      </c>
      <c r="C62" s="18" t="n">
        <v>1</v>
      </c>
      <c r="D62" t="n">
        <v>7</v>
      </c>
      <c r="E62" s="18" t="n">
        <v>0.199996462661572</v>
      </c>
      <c r="F62" t="n">
        <v>7</v>
      </c>
      <c r="G62" s="18"/>
      <c r="H62"/>
      <c r="I62" s="18"/>
      <c r="J62"/>
      <c r="K62" s="18"/>
      <c r="L62"/>
      <c r="M62" s="18" t="n">
        <v>1</v>
      </c>
      <c r="N62" t="n">
        <v>3</v>
      </c>
      <c r="O62" s="18" t="n">
        <v>0.359670906339823</v>
      </c>
      <c r="P62" t="n">
        <v>3</v>
      </c>
      <c r="Q62" s="18"/>
      <c r="R62"/>
      <c r="S62" s="18"/>
      <c r="T62"/>
      <c r="U62" s="18"/>
      <c r="V62"/>
      <c r="W62" s="18" t="n">
        <v>1</v>
      </c>
      <c r="X62" t="n">
        <v>4</v>
      </c>
      <c r="Y62" s="18"/>
      <c r="Z62"/>
      <c r="AA62" s="18"/>
      <c r="AB62"/>
      <c r="AC62" s="18"/>
      <c r="AD62"/>
      <c r="AE62" s="18"/>
      <c r="AF62" s="12"/>
    </row>
    <row r="63" outlineLevel="1" hidden="0">
      <c r="A63" s="7" t="s">
        <v>15</v>
      </c>
      <c r="B63" t="s">
        <v>66</v>
      </c>
      <c r="C63" s="18" t="n">
        <v>1</v>
      </c>
      <c r="D63" t="n">
        <v>3</v>
      </c>
      <c r="E63" s="18"/>
      <c r="F63"/>
      <c r="G63" s="18"/>
      <c r="H63"/>
      <c r="I63" s="18"/>
      <c r="J63"/>
      <c r="K63" s="18"/>
      <c r="L63"/>
      <c r="M63" s="18" t="n">
        <v>1</v>
      </c>
      <c r="N63" t="n">
        <v>2</v>
      </c>
      <c r="O63" s="18"/>
      <c r="P63"/>
      <c r="Q63" s="18"/>
      <c r="R63"/>
      <c r="S63" s="18"/>
      <c r="T63"/>
      <c r="U63" s="18"/>
      <c r="V63"/>
      <c r="W63" s="18" t="n">
        <v>1</v>
      </c>
      <c r="X63" t="n">
        <v>1</v>
      </c>
      <c r="Y63" s="18"/>
      <c r="Z63"/>
      <c r="AA63" s="18"/>
      <c r="AB63"/>
      <c r="AC63" s="18"/>
      <c r="AD63"/>
      <c r="AE63" s="18"/>
      <c r="AF63" s="12"/>
    </row>
    <row r="64" outlineLevel="1" hidden="0">
      <c r="A64" s="7" t="s">
        <v>15</v>
      </c>
      <c r="B64" t="s">
        <v>67</v>
      </c>
      <c r="C64" s="18" t="n">
        <v>0.677944887201367</v>
      </c>
      <c r="D64" t="n">
        <v>99</v>
      </c>
      <c r="E64" s="18" t="n">
        <v>0.245591906450222</v>
      </c>
      <c r="F64" t="n">
        <v>70</v>
      </c>
      <c r="G64" s="18" t="n">
        <v>0.136048276891568</v>
      </c>
      <c r="H64" t="n">
        <v>72</v>
      </c>
      <c r="I64" s="18"/>
      <c r="J64"/>
      <c r="K64" s="18"/>
      <c r="L64"/>
      <c r="M64" s="18" t="n">
        <v>0.707440949103425</v>
      </c>
      <c r="N64" t="n">
        <v>42</v>
      </c>
      <c r="O64" s="18" t="n">
        <v>0.277776058614502</v>
      </c>
      <c r="P64" t="n">
        <v>29</v>
      </c>
      <c r="Q64" s="18" t="n">
        <v>0.21190755884778</v>
      </c>
      <c r="R64" t="n">
        <v>30</v>
      </c>
      <c r="S64" s="18"/>
      <c r="T64"/>
      <c r="U64" s="18"/>
      <c r="V64"/>
      <c r="W64" s="18" t="n">
        <v>0.652843323867968</v>
      </c>
      <c r="X64" t="n">
        <v>57</v>
      </c>
      <c r="Y64" s="18" t="n">
        <v>0.215994316614956</v>
      </c>
      <c r="Z64" t="n">
        <v>41</v>
      </c>
      <c r="AA64" s="18" t="n">
        <v>0.0660919998051864</v>
      </c>
      <c r="AB64" t="n">
        <v>42</v>
      </c>
      <c r="AC64" s="18"/>
      <c r="AD64"/>
      <c r="AE64" s="18"/>
      <c r="AF64" s="12"/>
    </row>
    <row r="65" outlineLevel="1" hidden="0">
      <c r="A65" s="7" t="s">
        <v>15</v>
      </c>
      <c r="B65" t="s">
        <v>68</v>
      </c>
      <c r="C65" s="18" t="n">
        <v>1</v>
      </c>
      <c r="D65" t="n">
        <v>6</v>
      </c>
      <c r="E65" s="18" t="n">
        <v>0.056424259068643</v>
      </c>
      <c r="F65" t="n">
        <v>6</v>
      </c>
      <c r="G65" s="18" t="n">
        <v>0.056424259068643</v>
      </c>
      <c r="H65" t="n">
        <v>6</v>
      </c>
      <c r="I65" s="18"/>
      <c r="J65"/>
      <c r="K65" s="18"/>
      <c r="L65"/>
      <c r="M65" s="18" t="n">
        <v>1</v>
      </c>
      <c r="N65" t="n">
        <v>1</v>
      </c>
      <c r="O65" s="18"/>
      <c r="P65"/>
      <c r="Q65" s="18"/>
      <c r="R65"/>
      <c r="S65" s="18"/>
      <c r="T65"/>
      <c r="U65" s="18"/>
      <c r="V65"/>
      <c r="W65" s="18" t="n">
        <v>1</v>
      </c>
      <c r="X65" t="n">
        <v>5</v>
      </c>
      <c r="Y65" s="18" t="n">
        <v>0.0738434906753903</v>
      </c>
      <c r="Z65" t="n">
        <v>5</v>
      </c>
      <c r="AA65" s="18" t="n">
        <v>0.0738434906753903</v>
      </c>
      <c r="AB65" t="n">
        <v>5</v>
      </c>
      <c r="AC65" s="18"/>
      <c r="AD65"/>
      <c r="AE65" s="18"/>
      <c r="AF65" s="12"/>
    </row>
    <row r="66" outlineLevel="1" hidden="0">
      <c r="A66" s="7" t="s">
        <v>15</v>
      </c>
      <c r="B66" t="s">
        <v>69</v>
      </c>
      <c r="C66" s="18" t="n">
        <v>1</v>
      </c>
      <c r="D66" t="n">
        <v>3</v>
      </c>
      <c r="E66" s="18" t="n">
        <v>0.4466730993823</v>
      </c>
      <c r="F66" t="n">
        <v>3</v>
      </c>
      <c r="G66" s="18"/>
      <c r="H66"/>
      <c r="I66" s="18"/>
      <c r="J66"/>
      <c r="K66" s="18"/>
      <c r="L66"/>
      <c r="M66" s="18" t="n">
        <v>1</v>
      </c>
      <c r="N66" t="n">
        <v>2</v>
      </c>
      <c r="O66" s="18" t="n">
        <v>0.724796207889965</v>
      </c>
      <c r="P66" t="n">
        <v>2</v>
      </c>
      <c r="Q66" s="18"/>
      <c r="R66"/>
      <c r="S66" s="18"/>
      <c r="T66"/>
      <c r="U66" s="18"/>
      <c r="V66"/>
      <c r="W66" s="18" t="n">
        <v>1</v>
      </c>
      <c r="X66" t="n">
        <v>1</v>
      </c>
      <c r="Y66" s="18"/>
      <c r="Z66"/>
      <c r="AA66" s="18"/>
      <c r="AB66"/>
      <c r="AC66" s="18"/>
      <c r="AD66"/>
      <c r="AE66" s="18"/>
      <c r="AF66" s="12"/>
    </row>
    <row r="67" outlineLevel="1" hidden="0">
      <c r="A67" s="7" t="s">
        <v>15</v>
      </c>
      <c r="B67" t="s">
        <v>70</v>
      </c>
      <c r="C67" s="18" t="n">
        <v>1</v>
      </c>
      <c r="D67" t="n">
        <v>6</v>
      </c>
      <c r="E67" s="18"/>
      <c r="F67"/>
      <c r="G67" s="18"/>
      <c r="H67"/>
      <c r="I67" s="18"/>
      <c r="J67"/>
      <c r="K67" s="18"/>
      <c r="L67"/>
      <c r="M67" s="18" t="n">
        <v>1</v>
      </c>
      <c r="N67" t="n">
        <v>2</v>
      </c>
      <c r="O67" s="18"/>
      <c r="P67"/>
      <c r="Q67" s="18"/>
      <c r="R67"/>
      <c r="S67" s="18"/>
      <c r="T67"/>
      <c r="U67" s="18"/>
      <c r="V67"/>
      <c r="W67" s="18" t="n">
        <v>1</v>
      </c>
      <c r="X67" t="n">
        <v>4</v>
      </c>
      <c r="Y67" s="18"/>
      <c r="Z67"/>
      <c r="AA67" s="18"/>
      <c r="AB67"/>
      <c r="AC67" s="18"/>
      <c r="AD67"/>
      <c r="AE67" s="18"/>
      <c r="AF67" s="12"/>
    </row>
    <row r="68" outlineLevel="1" hidden="0">
      <c r="A68" s="7" t="s">
        <v>15</v>
      </c>
      <c r="B68" t="s">
        <v>71</v>
      </c>
      <c r="C68" s="18" t="n">
        <v>0.825337447861513</v>
      </c>
      <c r="D68" t="n">
        <v>8</v>
      </c>
      <c r="E68" s="18" t="n">
        <v>0.487480360498539</v>
      </c>
      <c r="F68" t="n">
        <v>7</v>
      </c>
      <c r="G68" s="18" t="n">
        <v>0.406650508514238</v>
      </c>
      <c r="H68" t="n">
        <v>7</v>
      </c>
      <c r="I68" s="18"/>
      <c r="J68"/>
      <c r="K68" s="18"/>
      <c r="L68"/>
      <c r="M68" s="18" t="n">
        <v>1</v>
      </c>
      <c r="N68" t="n">
        <v>5</v>
      </c>
      <c r="O68" s="18" t="n">
        <v>0.708468392470269</v>
      </c>
      <c r="P68" t="n">
        <v>5</v>
      </c>
      <c r="Q68" s="18" t="n">
        <v>0.590996182430129</v>
      </c>
      <c r="R68" t="n">
        <v>5</v>
      </c>
      <c r="S68" s="18"/>
      <c r="T68"/>
      <c r="U68" s="18"/>
      <c r="V68"/>
      <c r="W68" s="18" t="n">
        <v>0.59578659961644</v>
      </c>
      <c r="X68" t="n">
        <v>3</v>
      </c>
      <c r="Y68" s="18"/>
      <c r="Z68"/>
      <c r="AA68" s="18"/>
      <c r="AB68"/>
      <c r="AC68" s="18"/>
      <c r="AD68"/>
      <c r="AE68" s="18"/>
      <c r="AF68" s="12"/>
    </row>
    <row r="69" outlineLevel="1" hidden="0">
      <c r="A69" s="7" t="s">
        <v>15</v>
      </c>
      <c r="B69" t="s">
        <v>72</v>
      </c>
      <c r="C69" s="18" t="n">
        <v>0.920149048717562</v>
      </c>
      <c r="D69" t="n">
        <v>39</v>
      </c>
      <c r="E69" s="18" t="n">
        <v>0.403710473837554</v>
      </c>
      <c r="F69" t="n">
        <v>32</v>
      </c>
      <c r="G69" s="18" t="n">
        <v>0.0690408962876082</v>
      </c>
      <c r="H69" t="n">
        <v>36</v>
      </c>
      <c r="I69" s="18" t="n">
        <v>0.127953261221061</v>
      </c>
      <c r="J69" t="n">
        <v>33</v>
      </c>
      <c r="K69" s="18" t="n">
        <v>0.0660907627687426</v>
      </c>
      <c r="L69" t="n">
        <v>32</v>
      </c>
      <c r="M69" s="18" t="n">
        <v>0.905974406766536</v>
      </c>
      <c r="N69" t="n">
        <v>21</v>
      </c>
      <c r="O69" s="18" t="n">
        <v>0.38512385972174</v>
      </c>
      <c r="P69" t="n">
        <v>17</v>
      </c>
      <c r="Q69" s="18"/>
      <c r="R69"/>
      <c r="S69" s="18" t="n">
        <v>0.17633803342825</v>
      </c>
      <c r="T69" t="n">
        <v>17</v>
      </c>
      <c r="U69" s="18" t="n">
        <v>0.12490024338313</v>
      </c>
      <c r="V69" t="n">
        <v>16</v>
      </c>
      <c r="W69" s="18" t="n">
        <v>0.938456372423308</v>
      </c>
      <c r="X69" t="n">
        <v>18</v>
      </c>
      <c r="Y69" s="18" t="n">
        <v>0.427577833478674</v>
      </c>
      <c r="Z69" t="n">
        <v>15</v>
      </c>
      <c r="AA69" s="18" t="n">
        <v>0.155124616160124</v>
      </c>
      <c r="AB69" t="n">
        <v>17</v>
      </c>
      <c r="AC69" s="18" t="n">
        <v>0.0701821565923945</v>
      </c>
      <c r="AD69" t="n">
        <v>16</v>
      </c>
      <c r="AE69" s="18"/>
      <c r="AF69" s="12"/>
    </row>
    <row r="70" outlineLevel="1" hidden="0">
      <c r="A70" s="7" t="s">
        <v>15</v>
      </c>
      <c r="B70" t="s">
        <v>73</v>
      </c>
      <c r="C70" s="18" t="n">
        <v>0.6</v>
      </c>
      <c r="D70" t="n">
        <v>5</v>
      </c>
      <c r="E70" s="18" t="n">
        <v>0.333333333333333</v>
      </c>
      <c r="F70" t="n">
        <v>3</v>
      </c>
      <c r="G70" s="18"/>
      <c r="H70"/>
      <c r="I70" s="18"/>
      <c r="J70"/>
      <c r="K70" s="18"/>
      <c r="L70"/>
      <c r="M70" s="18" t="n">
        <v>0.666666666666667</v>
      </c>
      <c r="N70" t="n">
        <v>3</v>
      </c>
      <c r="O70" s="18" t="n">
        <v>0.5</v>
      </c>
      <c r="P70" t="n">
        <v>2</v>
      </c>
      <c r="Q70" s="18"/>
      <c r="R70"/>
      <c r="S70" s="18"/>
      <c r="T70"/>
      <c r="U70" s="18"/>
      <c r="V70"/>
      <c r="W70" s="18" t="n">
        <v>0.5</v>
      </c>
      <c r="X70" t="n">
        <v>2</v>
      </c>
      <c r="Y70" s="18"/>
      <c r="Z70"/>
      <c r="AA70" s="18"/>
      <c r="AB70"/>
      <c r="AC70" s="18"/>
      <c r="AD70"/>
      <c r="AE70" s="18"/>
      <c r="AF70" s="12"/>
    </row>
    <row r="71" outlineLevel="1" hidden="0">
      <c r="A71" s="7" t="s">
        <v>15</v>
      </c>
      <c r="B71" t="s">
        <v>74</v>
      </c>
      <c r="C71" s="18" t="n">
        <v>1</v>
      </c>
      <c r="D71" t="n">
        <v>3</v>
      </c>
      <c r="E71" s="18" t="n">
        <v>1</v>
      </c>
      <c r="F71" t="n">
        <v>1</v>
      </c>
      <c r="G71" s="18"/>
      <c r="H71"/>
      <c r="I71" s="18"/>
      <c r="J71"/>
      <c r="K71" s="18"/>
      <c r="L71"/>
      <c r="M71" s="18" t="n">
        <v>1</v>
      </c>
      <c r="N71" t="n">
        <v>1</v>
      </c>
      <c r="O71" s="18"/>
      <c r="P71"/>
      <c r="Q71" s="18"/>
      <c r="R71"/>
      <c r="S71" s="18"/>
      <c r="T71"/>
      <c r="U71" s="18"/>
      <c r="V71"/>
      <c r="W71" s="18" t="n">
        <v>1</v>
      </c>
      <c r="X71" t="n">
        <v>2</v>
      </c>
      <c r="Y71" s="18" t="n">
        <v>1</v>
      </c>
      <c r="Z71" t="n">
        <v>1</v>
      </c>
      <c r="AA71" s="18"/>
      <c r="AB71"/>
      <c r="AC71" s="18"/>
      <c r="AD71"/>
      <c r="AE71" s="18"/>
      <c r="AF71" s="12"/>
    </row>
    <row r="72" outlineLevel="1" hidden="0">
      <c r="A72" s="7" t="s">
        <v>15</v>
      </c>
      <c r="B72" t="s">
        <v>75</v>
      </c>
      <c r="C72" s="18" t="n">
        <v>0.74739133702807</v>
      </c>
      <c r="D72" t="n">
        <v>6</v>
      </c>
      <c r="E72" s="18" t="n">
        <v>0.855850341622643</v>
      </c>
      <c r="F72" t="n">
        <v>5</v>
      </c>
      <c r="G72" s="18"/>
      <c r="H72"/>
      <c r="I72" s="18"/>
      <c r="J72"/>
      <c r="K72" s="18"/>
      <c r="L72"/>
      <c r="M72" s="18" t="n">
        <v>1</v>
      </c>
      <c r="N72" t="n">
        <v>3</v>
      </c>
      <c r="O72" s="18" t="n">
        <v>0.664325697058172</v>
      </c>
      <c r="P72" t="n">
        <v>3</v>
      </c>
      <c r="Q72" s="18"/>
      <c r="R72"/>
      <c r="S72" s="18"/>
      <c r="T72"/>
      <c r="U72" s="18"/>
      <c r="V72"/>
      <c r="W72" s="18" t="n">
        <v>0.627994451286761</v>
      </c>
      <c r="X72" t="n">
        <v>3</v>
      </c>
      <c r="Y72" s="18" t="n">
        <v>1</v>
      </c>
      <c r="Z72" t="n">
        <v>2</v>
      </c>
      <c r="AA72" s="18"/>
      <c r="AB72"/>
      <c r="AC72" s="18"/>
      <c r="AD72"/>
      <c r="AE72" s="18"/>
      <c r="AF72" s="12"/>
    </row>
    <row r="73" outlineLevel="1" hidden="0">
      <c r="A73" s="7" t="s">
        <v>15</v>
      </c>
      <c r="B73" t="s">
        <v>76</v>
      </c>
      <c r="C73" s="18" t="n">
        <v>0.532266763585762</v>
      </c>
      <c r="D73" t="n">
        <v>8</v>
      </c>
      <c r="E73" s="18" t="n">
        <v>0.427642195476224</v>
      </c>
      <c r="F73" t="n">
        <v>6</v>
      </c>
      <c r="G73" s="18"/>
      <c r="H73"/>
      <c r="I73" s="18"/>
      <c r="J73"/>
      <c r="K73" s="18"/>
      <c r="L73"/>
      <c r="M73" s="18" t="n">
        <v>0.327344153570217</v>
      </c>
      <c r="N73" t="n">
        <v>4</v>
      </c>
      <c r="O73" s="18" t="n">
        <v>0.238647420461577</v>
      </c>
      <c r="P73" t="n">
        <v>2</v>
      </c>
      <c r="Q73" s="18"/>
      <c r="R73"/>
      <c r="S73" s="18"/>
      <c r="T73"/>
      <c r="U73" s="18"/>
      <c r="V73"/>
      <c r="W73" s="18" t="n">
        <v>1</v>
      </c>
      <c r="X73" t="n">
        <v>4</v>
      </c>
      <c r="Y73" s="18" t="n">
        <v>0.568851313063162</v>
      </c>
      <c r="Z73" t="n">
        <v>4</v>
      </c>
      <c r="AA73" s="18"/>
      <c r="AB73"/>
      <c r="AC73" s="18"/>
      <c r="AD73"/>
      <c r="AE73" s="18"/>
      <c r="AF73" s="12"/>
    </row>
    <row r="74" outlineLevel="1" hidden="0">
      <c r="A74" s="7" t="s">
        <v>15</v>
      </c>
      <c r="B74" t="s">
        <v>77</v>
      </c>
      <c r="C74" s="18" t="n">
        <v>1</v>
      </c>
      <c r="D74" t="n">
        <v>1</v>
      </c>
      <c r="E74" s="18"/>
      <c r="F74"/>
      <c r="G74" s="18"/>
      <c r="H74"/>
      <c r="I74" s="18"/>
      <c r="J74"/>
      <c r="K74" s="18"/>
      <c r="L74"/>
      <c r="M74" s="18"/>
      <c r="N74"/>
      <c r="O74" s="18"/>
      <c r="P74"/>
      <c r="Q74" s="18"/>
      <c r="R74"/>
      <c r="S74" s="18"/>
      <c r="T74"/>
      <c r="U74" s="18"/>
      <c r="V74"/>
      <c r="W74" s="18" t="n">
        <v>1</v>
      </c>
      <c r="X74" t="n">
        <v>1</v>
      </c>
      <c r="Y74" s="18"/>
      <c r="Z74"/>
      <c r="AA74" s="18"/>
      <c r="AB74"/>
      <c r="AC74" s="18"/>
      <c r="AD74"/>
      <c r="AE74" s="18"/>
      <c r="AF74" s="12"/>
    </row>
    <row r="75" outlineLevel="1" hidden="0">
      <c r="A75" s="7" t="s">
        <v>15</v>
      </c>
      <c r="B75" t="s">
        <v>78</v>
      </c>
      <c r="C75" s="18" t="n">
        <v>0.85000308096037</v>
      </c>
      <c r="D75" t="n">
        <v>48</v>
      </c>
      <c r="E75" s="18" t="n">
        <v>0.447108041360057</v>
      </c>
      <c r="F75" t="n">
        <v>42</v>
      </c>
      <c r="G75" s="18" t="n">
        <v>0.0757718625745356</v>
      </c>
      <c r="H75" t="n">
        <v>43</v>
      </c>
      <c r="I75" s="18" t="n">
        <v>0.0226622487924829</v>
      </c>
      <c r="J75" t="n">
        <v>43</v>
      </c>
      <c r="K75" s="18"/>
      <c r="L75"/>
      <c r="M75" s="18" t="n">
        <v>0.994372558707946</v>
      </c>
      <c r="N75" t="n">
        <v>24</v>
      </c>
      <c r="O75" s="18" t="n">
        <v>0.35173720727511</v>
      </c>
      <c r="P75" t="n">
        <v>23</v>
      </c>
      <c r="Q75" s="18" t="n">
        <v>0.0473197834416471</v>
      </c>
      <c r="R75" t="n">
        <v>23</v>
      </c>
      <c r="S75" s="18" t="n">
        <v>0.0179672350699494</v>
      </c>
      <c r="T75" t="n">
        <v>23</v>
      </c>
      <c r="U75" s="18"/>
      <c r="V75"/>
      <c r="W75" s="18" t="n">
        <v>0.68114395143692</v>
      </c>
      <c r="X75" t="n">
        <v>24</v>
      </c>
      <c r="Y75" s="18" t="n">
        <v>0.624267417099674</v>
      </c>
      <c r="Z75" t="n">
        <v>19</v>
      </c>
      <c r="AA75" s="18" t="n">
        <v>0.124353639437266</v>
      </c>
      <c r="AB75" t="n">
        <v>20</v>
      </c>
      <c r="AC75" s="18" t="n">
        <v>0.0306789602591652</v>
      </c>
      <c r="AD75" t="n">
        <v>20</v>
      </c>
      <c r="AE75" s="18"/>
      <c r="AF75" s="12"/>
    </row>
    <row r="76" outlineLevel="1" hidden="0">
      <c r="A76" s="7" t="s">
        <v>15</v>
      </c>
      <c r="B76" t="s">
        <v>79</v>
      </c>
      <c r="C76" s="18" t="n">
        <v>1</v>
      </c>
      <c r="D76" t="n">
        <v>2</v>
      </c>
      <c r="E76" s="18" t="n">
        <v>1</v>
      </c>
      <c r="F76" t="n">
        <v>2</v>
      </c>
      <c r="G76" s="18"/>
      <c r="H76"/>
      <c r="I76" s="18"/>
      <c r="J76"/>
      <c r="K76" s="18"/>
      <c r="L76"/>
      <c r="M76" s="18" t="n">
        <v>1</v>
      </c>
      <c r="N76" t="n">
        <v>2</v>
      </c>
      <c r="O76" s="18" t="n">
        <v>1</v>
      </c>
      <c r="P76" t="n">
        <v>2</v>
      </c>
      <c r="Q76" s="18"/>
      <c r="R76"/>
      <c r="S76" s="18"/>
      <c r="T76"/>
      <c r="U76" s="18"/>
      <c r="V76"/>
      <c r="W76" s="18"/>
      <c r="X76"/>
      <c r="Y76" s="18"/>
      <c r="Z76"/>
      <c r="AA76" s="18"/>
      <c r="AB76"/>
      <c r="AC76" s="18"/>
      <c r="AD76"/>
      <c r="AE76" s="18"/>
      <c r="AF76" s="12"/>
    </row>
    <row r="77" outlineLevel="1" hidden="0">
      <c r="A77" s="7" t="s">
        <v>15</v>
      </c>
      <c r="B77" t="s">
        <v>80</v>
      </c>
      <c r="C77" s="18" t="n">
        <v>1</v>
      </c>
      <c r="D77" t="n">
        <v>2</v>
      </c>
      <c r="E77" s="18"/>
      <c r="F77"/>
      <c r="G77" s="18"/>
      <c r="H77"/>
      <c r="I77" s="18" t="n">
        <v>0.5</v>
      </c>
      <c r="J77" t="n">
        <v>2</v>
      </c>
      <c r="K77" s="18" t="n">
        <v>0.5</v>
      </c>
      <c r="L77" t="n">
        <v>2</v>
      </c>
      <c r="M77" s="18"/>
      <c r="N77"/>
      <c r="O77" s="18"/>
      <c r="P77"/>
      <c r="Q77" s="18"/>
      <c r="R77"/>
      <c r="S77" s="18"/>
      <c r="T77"/>
      <c r="U77" s="18"/>
      <c r="V77"/>
      <c r="W77" s="18" t="n">
        <v>1</v>
      </c>
      <c r="X77" t="n">
        <v>2</v>
      </c>
      <c r="Y77" s="18"/>
      <c r="Z77"/>
      <c r="AA77" s="18"/>
      <c r="AB77"/>
      <c r="AC77" s="18" t="n">
        <v>0.5</v>
      </c>
      <c r="AD77" t="n">
        <v>2</v>
      </c>
      <c r="AE77" s="18" t="n">
        <v>0.5</v>
      </c>
      <c r="AF77" s="12" t="n">
        <v>2</v>
      </c>
    </row>
    <row r="78" outlineLevel="1" hidden="0">
      <c r="A78" s="7" t="s">
        <v>15</v>
      </c>
      <c r="B78" t="s">
        <v>81</v>
      </c>
      <c r="C78" s="18" t="n">
        <v>0.891598590388282</v>
      </c>
      <c r="D78" t="n">
        <v>22</v>
      </c>
      <c r="E78" s="18" t="n">
        <v>0.50009385633941</v>
      </c>
      <c r="F78" t="n">
        <v>18</v>
      </c>
      <c r="G78" s="18" t="n">
        <v>0.18880800205189</v>
      </c>
      <c r="H78" t="n">
        <v>18</v>
      </c>
      <c r="I78" s="18" t="n">
        <v>0.400279257605103</v>
      </c>
      <c r="J78" t="n">
        <v>18</v>
      </c>
      <c r="K78" s="18" t="n">
        <v>0.268491207085564</v>
      </c>
      <c r="L78" t="n">
        <v>18</v>
      </c>
      <c r="M78" s="18" t="n">
        <v>0.834720562049417</v>
      </c>
      <c r="N78" t="n">
        <v>11</v>
      </c>
      <c r="O78" s="18" t="n">
        <v>0.519396994328631</v>
      </c>
      <c r="P78" t="n">
        <v>9</v>
      </c>
      <c r="Q78" s="18" t="n">
        <v>0.199601777850585</v>
      </c>
      <c r="R78" t="n">
        <v>9</v>
      </c>
      <c r="S78" s="18" t="n">
        <v>0.519396994328631</v>
      </c>
      <c r="T78" t="n">
        <v>9</v>
      </c>
      <c r="U78" s="18" t="n">
        <v>0.368078846795819</v>
      </c>
      <c r="V78" t="n">
        <v>9</v>
      </c>
      <c r="W78" s="18" t="n">
        <v>0.949669659800214</v>
      </c>
      <c r="X78" t="n">
        <v>11</v>
      </c>
      <c r="Y78" s="18" t="n">
        <v>0.482771309099879</v>
      </c>
      <c r="Z78" t="n">
        <v>9</v>
      </c>
      <c r="AA78" s="18" t="n">
        <v>0.179121717300146</v>
      </c>
      <c r="AB78" t="n">
        <v>9</v>
      </c>
      <c r="AC78" s="18" t="n">
        <v>0.293383548595955</v>
      </c>
      <c r="AD78" t="n">
        <v>9</v>
      </c>
      <c r="AE78" s="18" t="n">
        <v>0.179121717300146</v>
      </c>
      <c r="AF78" s="12" t="n">
        <v>9</v>
      </c>
    </row>
    <row r="79" outlineLevel="1" hidden="0">
      <c r="A79" s="7" t="s">
        <v>15</v>
      </c>
      <c r="B79" t="s">
        <v>82</v>
      </c>
      <c r="C79" s="18" t="n">
        <v>0.760965151419511</v>
      </c>
      <c r="D79" t="n">
        <v>32</v>
      </c>
      <c r="E79" s="18" t="n">
        <v>0.475258680494405</v>
      </c>
      <c r="F79" t="n">
        <v>26</v>
      </c>
      <c r="G79" s="18" t="n">
        <v>0.251405946924675</v>
      </c>
      <c r="H79" t="n">
        <v>26</v>
      </c>
      <c r="I79" s="18" t="n">
        <v>0.24855585057815</v>
      </c>
      <c r="J79" t="n">
        <v>26</v>
      </c>
      <c r="K79" s="18" t="n">
        <v>0.259268434726651</v>
      </c>
      <c r="L79" t="n">
        <v>26</v>
      </c>
      <c r="M79" s="18" t="n">
        <v>0.90024095992907</v>
      </c>
      <c r="N79" t="n">
        <v>17</v>
      </c>
      <c r="O79" s="18" t="n">
        <v>0.3484017402485</v>
      </c>
      <c r="P79" t="n">
        <v>16</v>
      </c>
      <c r="Q79" s="18" t="n">
        <v>0.207606080042888</v>
      </c>
      <c r="R79" t="n">
        <v>16</v>
      </c>
      <c r="S79" s="18" t="n">
        <v>0.221627418683083</v>
      </c>
      <c r="T79" t="n">
        <v>16</v>
      </c>
      <c r="U79" s="18" t="n">
        <v>0.240731393638691</v>
      </c>
      <c r="V79" t="n">
        <v>16</v>
      </c>
      <c r="W79" s="18" t="n">
        <v>0.635459062597547</v>
      </c>
      <c r="X79" t="n">
        <v>15</v>
      </c>
      <c r="Y79" s="18" t="n">
        <v>0.63720628589665</v>
      </c>
      <c r="Z79" t="n">
        <v>10</v>
      </c>
      <c r="AA79" s="18" t="n">
        <v>0.307321559777174</v>
      </c>
      <c r="AB79" t="n">
        <v>10</v>
      </c>
      <c r="AC79" s="18" t="n">
        <v>0.282933118815821</v>
      </c>
      <c r="AD79" t="n">
        <v>10</v>
      </c>
      <c r="AE79" s="18" t="n">
        <v>0.282933118815821</v>
      </c>
      <c r="AF79" s="12" t="n">
        <v>10</v>
      </c>
    </row>
    <row r="80" outlineLevel="1" hidden="0">
      <c r="A80" s="7" t="s">
        <v>15</v>
      </c>
      <c r="B80" t="s">
        <v>83</v>
      </c>
      <c r="C80" s="18" t="n">
        <v>1</v>
      </c>
      <c r="D80" t="n">
        <v>6</v>
      </c>
      <c r="E80" s="18" t="n">
        <v>0.0957605262842517</v>
      </c>
      <c r="F80" t="n">
        <v>6</v>
      </c>
      <c r="G80" s="18"/>
      <c r="H80"/>
      <c r="I80" s="18" t="n">
        <v>0.287281578852755</v>
      </c>
      <c r="J80" t="n">
        <v>6</v>
      </c>
      <c r="K80" s="18"/>
      <c r="L80"/>
      <c r="M80" s="18" t="n">
        <v>1</v>
      </c>
      <c r="N80" t="n">
        <v>2</v>
      </c>
      <c r="O80" s="18"/>
      <c r="P80"/>
      <c r="Q80" s="18"/>
      <c r="R80"/>
      <c r="S80" s="18" t="n">
        <v>0.287281578852755</v>
      </c>
      <c r="T80" t="n">
        <v>2</v>
      </c>
      <c r="U80" s="18"/>
      <c r="V80"/>
      <c r="W80" s="18" t="n">
        <v>1</v>
      </c>
      <c r="X80" t="n">
        <v>4</v>
      </c>
      <c r="Y80" s="18" t="n">
        <v>0.143640789426377</v>
      </c>
      <c r="Z80" t="n">
        <v>4</v>
      </c>
      <c r="AA80" s="18"/>
      <c r="AB80"/>
      <c r="AC80" s="18" t="n">
        <v>0.287281578852755</v>
      </c>
      <c r="AD80" t="n">
        <v>4</v>
      </c>
      <c r="AE80" s="18"/>
      <c r="AF80" s="12"/>
    </row>
    <row r="81" outlineLevel="1" hidden="0">
      <c r="A81" s="7" t="s">
        <v>15</v>
      </c>
      <c r="B81" t="s">
        <v>84</v>
      </c>
      <c r="C81" s="18" t="n">
        <v>1</v>
      </c>
      <c r="D81" t="n">
        <v>3</v>
      </c>
      <c r="E81" s="18"/>
      <c r="F81"/>
      <c r="G81" s="18"/>
      <c r="H81"/>
      <c r="I81" s="18"/>
      <c r="J81"/>
      <c r="K81" s="18"/>
      <c r="L81"/>
      <c r="M81" s="18" t="n">
        <v>1</v>
      </c>
      <c r="N81" t="n">
        <v>2</v>
      </c>
      <c r="O81" s="18"/>
      <c r="P81"/>
      <c r="Q81" s="18"/>
      <c r="R81"/>
      <c r="S81" s="18"/>
      <c r="T81"/>
      <c r="U81" s="18"/>
      <c r="V81"/>
      <c r="W81" s="18" t="n">
        <v>1</v>
      </c>
      <c r="X81" t="n">
        <v>1</v>
      </c>
      <c r="Y81" s="18"/>
      <c r="Z81"/>
      <c r="AA81" s="18"/>
      <c r="AB81"/>
      <c r="AC81" s="18"/>
      <c r="AD81"/>
      <c r="AE81" s="18"/>
      <c r="AF81" s="12"/>
    </row>
    <row r="82" outlineLevel="1" hidden="0">
      <c r="A82" s="7" t="s">
        <v>15</v>
      </c>
      <c r="B82" t="s">
        <v>85</v>
      </c>
      <c r="C82" s="18" t="n">
        <v>1</v>
      </c>
      <c r="D82" t="n">
        <v>2</v>
      </c>
      <c r="E82" s="18" t="n">
        <v>0.5</v>
      </c>
      <c r="F82" t="n">
        <v>2</v>
      </c>
      <c r="G82" s="18" t="n">
        <v>1</v>
      </c>
      <c r="H82" t="n">
        <v>2</v>
      </c>
      <c r="I82" s="18"/>
      <c r="J82"/>
      <c r="K82" s="18"/>
      <c r="L82"/>
      <c r="M82" s="18"/>
      <c r="N82"/>
      <c r="O82" s="18"/>
      <c r="P82"/>
      <c r="Q82" s="18"/>
      <c r="R82"/>
      <c r="S82" s="18"/>
      <c r="T82"/>
      <c r="U82" s="18"/>
      <c r="V82"/>
      <c r="W82" s="18" t="n">
        <v>1</v>
      </c>
      <c r="X82" t="n">
        <v>2</v>
      </c>
      <c r="Y82" s="18" t="n">
        <v>0.5</v>
      </c>
      <c r="Z82" t="n">
        <v>2</v>
      </c>
      <c r="AA82" s="18" t="n">
        <v>1</v>
      </c>
      <c r="AB82" t="n">
        <v>2</v>
      </c>
      <c r="AC82" s="18"/>
      <c r="AD82"/>
      <c r="AE82" s="18"/>
      <c r="AF82" s="12"/>
    </row>
    <row r="83" outlineLevel="1" hidden="0">
      <c r="A83" s="7" t="s">
        <v>15</v>
      </c>
      <c r="B83" t="s">
        <v>86</v>
      </c>
      <c r="C83" s="18" t="n">
        <v>0.58606171073643</v>
      </c>
      <c r="D83" t="n">
        <v>94</v>
      </c>
      <c r="E83" s="18" t="n">
        <v>0.635904822771522</v>
      </c>
      <c r="F83" t="n">
        <v>54</v>
      </c>
      <c r="G83" s="18" t="n">
        <v>0.208301838051503</v>
      </c>
      <c r="H83" t="n">
        <v>54</v>
      </c>
      <c r="I83" s="18" t="n">
        <v>0.111193782452218</v>
      </c>
      <c r="J83" t="n">
        <v>52</v>
      </c>
      <c r="K83" s="18" t="n">
        <v>0.287916221469506</v>
      </c>
      <c r="L83" t="n">
        <v>52</v>
      </c>
      <c r="M83" s="18" t="n">
        <v>0.642270637246669</v>
      </c>
      <c r="N83" t="n">
        <v>50</v>
      </c>
      <c r="O83" s="18" t="n">
        <v>0.620440392729201</v>
      </c>
      <c r="P83" t="n">
        <v>32</v>
      </c>
      <c r="Q83" s="18" t="n">
        <v>0.179196823874908</v>
      </c>
      <c r="R83" t="n">
        <v>32</v>
      </c>
      <c r="S83" s="18" t="n">
        <v>0.132960604545577</v>
      </c>
      <c r="T83" t="n">
        <v>30</v>
      </c>
      <c r="U83" s="18" t="n">
        <v>0.229140260533584</v>
      </c>
      <c r="V83" t="n">
        <v>30</v>
      </c>
      <c r="W83" s="18" t="n">
        <v>0.521476971987587</v>
      </c>
      <c r="X83" t="n">
        <v>44</v>
      </c>
      <c r="Y83" s="18" t="n">
        <v>0.657789566581648</v>
      </c>
      <c r="Z83" t="n">
        <v>22</v>
      </c>
      <c r="AA83" s="18" t="n">
        <v>0.249490279985781</v>
      </c>
      <c r="AB83" t="n">
        <v>22</v>
      </c>
      <c r="AC83" s="18" t="n">
        <v>0.0830470473027134</v>
      </c>
      <c r="AD83" t="n">
        <v>22</v>
      </c>
      <c r="AE83" s="18" t="n">
        <v>0.366191666703802</v>
      </c>
      <c r="AF83" s="12" t="n">
        <v>22</v>
      </c>
    </row>
    <row r="84" outlineLevel="1" hidden="0">
      <c r="A84" s="7" t="s">
        <v>15</v>
      </c>
      <c r="B84" t="s">
        <v>87</v>
      </c>
      <c r="C84" s="18" t="n">
        <v>0.725739596052721</v>
      </c>
      <c r="D84" t="n">
        <v>72</v>
      </c>
      <c r="E84" s="18" t="n">
        <v>0.149121800307384</v>
      </c>
      <c r="F84" t="n">
        <v>52</v>
      </c>
      <c r="G84" s="18" t="n">
        <v>0.15194575379022</v>
      </c>
      <c r="H84" t="n">
        <v>51</v>
      </c>
      <c r="I84" s="18" t="n">
        <v>0.0458762613090492</v>
      </c>
      <c r="J84" t="n">
        <v>52</v>
      </c>
      <c r="K84" s="18" t="n">
        <v>0.223935073950583</v>
      </c>
      <c r="L84" t="n">
        <v>49</v>
      </c>
      <c r="M84" s="18" t="n">
        <v>0.725161771373728</v>
      </c>
      <c r="N84" t="n">
        <v>39</v>
      </c>
      <c r="O84" s="18" t="n">
        <v>0.140130774746144</v>
      </c>
      <c r="P84" t="n">
        <v>28</v>
      </c>
      <c r="Q84" s="18" t="n">
        <v>0.153046658172925</v>
      </c>
      <c r="R84" t="n">
        <v>28</v>
      </c>
      <c r="S84" s="18" t="n">
        <v>0.097132030382239</v>
      </c>
      <c r="T84" t="n">
        <v>28</v>
      </c>
      <c r="U84" s="18" t="n">
        <v>0.269887829880862</v>
      </c>
      <c r="V84" t="n">
        <v>27</v>
      </c>
      <c r="W84" s="18" t="n">
        <v>0.726257557115737</v>
      </c>
      <c r="X84" t="n">
        <v>33</v>
      </c>
      <c r="Y84" s="18" t="n">
        <v>0.157169180056867</v>
      </c>
      <c r="Z84" t="n">
        <v>24</v>
      </c>
      <c r="AA84" s="18" t="n">
        <v>0.1509037309606</v>
      </c>
      <c r="AB84" t="n">
        <v>23</v>
      </c>
      <c r="AC84" s="18"/>
      <c r="AD84"/>
      <c r="AE84" s="18" t="n">
        <v>0.181059178838646</v>
      </c>
      <c r="AF84" s="12" t="n">
        <v>22</v>
      </c>
    </row>
    <row r="85" outlineLevel="1" hidden="0">
      <c r="A85" s="7" t="s">
        <v>15</v>
      </c>
      <c r="B85" t="s">
        <v>88</v>
      </c>
      <c r="C85" s="18" t="n">
        <v>1</v>
      </c>
      <c r="D85" t="n">
        <v>1</v>
      </c>
      <c r="E85" s="18"/>
      <c r="F85"/>
      <c r="G85" s="18"/>
      <c r="H85"/>
      <c r="I85" s="18"/>
      <c r="J85"/>
      <c r="K85" s="18"/>
      <c r="L85"/>
      <c r="M85" s="18" t="n">
        <v>1</v>
      </c>
      <c r="N85" t="n">
        <v>1</v>
      </c>
      <c r="O85" s="18"/>
      <c r="P85"/>
      <c r="Q85" s="18"/>
      <c r="R85"/>
      <c r="S85" s="18"/>
      <c r="T85"/>
      <c r="U85" s="18"/>
      <c r="V85"/>
      <c r="W85" s="18"/>
      <c r="X85"/>
      <c r="Y85" s="18"/>
      <c r="Z85"/>
      <c r="AA85" s="18"/>
      <c r="AB85"/>
      <c r="AC85" s="18"/>
      <c r="AD85"/>
      <c r="AE85" s="18"/>
      <c r="AF85" s="12"/>
    </row>
    <row r="86" outlineLevel="1" hidden="0">
      <c r="A86" s="7" t="s">
        <v>15</v>
      </c>
      <c r="B86" t="s">
        <v>89</v>
      </c>
      <c r="C86" s="18" t="n">
        <v>0.861431449889892</v>
      </c>
      <c r="D86" t="n">
        <v>1044</v>
      </c>
      <c r="E86" s="18" t="n">
        <v>0.247954037624051</v>
      </c>
      <c r="F86" t="n">
        <v>897</v>
      </c>
      <c r="G86" s="18" t="n">
        <v>0.0985008679916795</v>
      </c>
      <c r="H86" t="n">
        <v>902</v>
      </c>
      <c r="I86" s="18" t="n">
        <v>0.0335766517549378</v>
      </c>
      <c r="J86" t="n">
        <v>874</v>
      </c>
      <c r="K86" s="18" t="n">
        <v>0.0911766864614527</v>
      </c>
      <c r="L86" t="n">
        <v>873</v>
      </c>
      <c r="M86" s="18" t="n">
        <v>0.882298692336679</v>
      </c>
      <c r="N86" t="n">
        <v>557</v>
      </c>
      <c r="O86" s="18" t="n">
        <v>0.238831598821532</v>
      </c>
      <c r="P86" t="n">
        <v>488</v>
      </c>
      <c r="Q86" s="18" t="n">
        <v>0.104603423710248</v>
      </c>
      <c r="R86" t="n">
        <v>491</v>
      </c>
      <c r="S86" s="18" t="n">
        <v>0.0286111140928049</v>
      </c>
      <c r="T86" t="n">
        <v>474</v>
      </c>
      <c r="U86" s="18" t="n">
        <v>0.0820698932846524</v>
      </c>
      <c r="V86" t="n">
        <v>475</v>
      </c>
      <c r="W86" s="18" t="n">
        <v>0.838133031680611</v>
      </c>
      <c r="X86" t="n">
        <v>487</v>
      </c>
      <c r="Y86" s="18" t="n">
        <v>0.25864792325276</v>
      </c>
      <c r="Z86" t="n">
        <v>409</v>
      </c>
      <c r="AA86" s="18" t="n">
        <v>0.0913085938731352</v>
      </c>
      <c r="AB86" t="n">
        <v>411</v>
      </c>
      <c r="AC86" s="18" t="n">
        <v>0.039345140267992</v>
      </c>
      <c r="AD86" t="n">
        <v>400</v>
      </c>
      <c r="AE86" s="18" t="n">
        <v>0.101924825749758</v>
      </c>
      <c r="AF86" s="12" t="n">
        <v>398</v>
      </c>
    </row>
    <row r="87" outlineLevel="1" hidden="0">
      <c r="A87" s="7" t="s">
        <v>15</v>
      </c>
      <c r="B87" t="s">
        <v>90</v>
      </c>
      <c r="C87" s="18" t="n">
        <v>0.910792515420675</v>
      </c>
      <c r="D87" t="n">
        <v>75</v>
      </c>
      <c r="E87" s="18" t="n">
        <v>0.354252256069337</v>
      </c>
      <c r="F87" t="n">
        <v>68</v>
      </c>
      <c r="G87" s="18" t="n">
        <v>0.0384878647373833</v>
      </c>
      <c r="H87" t="n">
        <v>68</v>
      </c>
      <c r="I87" s="18" t="n">
        <v>0.0841756049333605</v>
      </c>
      <c r="J87" t="n">
        <v>66</v>
      </c>
      <c r="K87" s="18" t="n">
        <v>0.103351644725785</v>
      </c>
      <c r="L87" t="n">
        <v>68</v>
      </c>
      <c r="M87" s="18" t="n">
        <v>0.905301866251706</v>
      </c>
      <c r="N87" t="n">
        <v>43</v>
      </c>
      <c r="O87" s="18" t="n">
        <v>0.449973123389855</v>
      </c>
      <c r="P87" t="n">
        <v>39</v>
      </c>
      <c r="Q87" s="18" t="n">
        <v>0.0638536248732441</v>
      </c>
      <c r="R87" t="n">
        <v>39</v>
      </c>
      <c r="S87" s="18" t="n">
        <v>0.0764024130558466</v>
      </c>
      <c r="T87" t="n">
        <v>39</v>
      </c>
      <c r="U87" s="18" t="n">
        <v>0.0755848079660369</v>
      </c>
      <c r="V87" t="n">
        <v>39</v>
      </c>
      <c r="W87" s="18" t="n">
        <v>0.917510395776602</v>
      </c>
      <c r="X87" t="n">
        <v>32</v>
      </c>
      <c r="Y87" s="18" t="n">
        <v>0.238694894589746</v>
      </c>
      <c r="Z87" t="n">
        <v>29</v>
      </c>
      <c r="AA87" s="18" t="n">
        <v>0.00786548954087296</v>
      </c>
      <c r="AB87" t="n">
        <v>29</v>
      </c>
      <c r="AC87" s="18" t="n">
        <v>0.093709636025635</v>
      </c>
      <c r="AD87" t="n">
        <v>27</v>
      </c>
      <c r="AE87" s="18" t="n">
        <v>0.136872678147338</v>
      </c>
      <c r="AF87" s="12" t="n">
        <v>29</v>
      </c>
    </row>
    <row r="88" outlineLevel="1" hidden="0">
      <c r="A88" s="7" t="s">
        <v>15</v>
      </c>
      <c r="B88" t="s">
        <v>91</v>
      </c>
      <c r="C88" s="18" t="n">
        <v>0.944914943907913</v>
      </c>
      <c r="D88" t="n">
        <v>9</v>
      </c>
      <c r="E88" s="18" t="n">
        <v>0.0582963116915795</v>
      </c>
      <c r="F88" t="n">
        <v>8</v>
      </c>
      <c r="G88" s="18"/>
      <c r="H88"/>
      <c r="I88" s="18"/>
      <c r="J88"/>
      <c r="K88" s="18"/>
      <c r="L88"/>
      <c r="M88" s="18" t="n">
        <v>0.934009706920453</v>
      </c>
      <c r="N88" t="n">
        <v>6</v>
      </c>
      <c r="O88" s="18" t="n">
        <v>0.070652684432077</v>
      </c>
      <c r="P88" t="n">
        <v>5</v>
      </c>
      <c r="Q88" s="18"/>
      <c r="R88"/>
      <c r="S88" s="18"/>
      <c r="T88"/>
      <c r="U88" s="18"/>
      <c r="V88"/>
      <c r="W88" s="18" t="n">
        <v>1</v>
      </c>
      <c r="X88" t="n">
        <v>3</v>
      </c>
      <c r="Y88" s="18"/>
      <c r="Z88"/>
      <c r="AA88" s="18"/>
      <c r="AB88"/>
      <c r="AC88" s="18"/>
      <c r="AD88"/>
      <c r="AE88" s="18"/>
      <c r="AF88" s="12"/>
    </row>
    <row r="89" outlineLevel="1" hidden="0">
      <c r="A89" s="7" t="s">
        <v>15</v>
      </c>
      <c r="B89" t="s">
        <v>92</v>
      </c>
      <c r="C89" s="18" t="n">
        <v>1</v>
      </c>
      <c r="D89" t="n">
        <v>6</v>
      </c>
      <c r="E89" s="18" t="n">
        <v>1</v>
      </c>
      <c r="F89" t="n">
        <v>4</v>
      </c>
      <c r="G89" s="18" t="n">
        <v>0.20168786886795</v>
      </c>
      <c r="H89" t="n">
        <v>6</v>
      </c>
      <c r="I89" s="18"/>
      <c r="J89"/>
      <c r="K89" s="18"/>
      <c r="L89"/>
      <c r="M89" s="18" t="n">
        <v>1</v>
      </c>
      <c r="N89" t="n">
        <v>2</v>
      </c>
      <c r="O89" s="18" t="n">
        <v>1</v>
      </c>
      <c r="P89" t="n">
        <v>1</v>
      </c>
      <c r="Q89" s="18" t="n">
        <v>0.20168786886795</v>
      </c>
      <c r="R89" t="n">
        <v>2</v>
      </c>
      <c r="S89" s="18"/>
      <c r="T89"/>
      <c r="U89" s="18"/>
      <c r="V89"/>
      <c r="W89" s="18" t="n">
        <v>1</v>
      </c>
      <c r="X89" t="n">
        <v>4</v>
      </c>
      <c r="Y89" s="18" t="n">
        <v>1</v>
      </c>
      <c r="Z89" t="n">
        <v>3</v>
      </c>
      <c r="AA89" s="18" t="n">
        <v>0.20168786886795</v>
      </c>
      <c r="AB89" t="n">
        <v>4</v>
      </c>
      <c r="AC89" s="18"/>
      <c r="AD89"/>
      <c r="AE89" s="18"/>
      <c r="AF89" s="12"/>
    </row>
    <row r="90" outlineLevel="1" hidden="0">
      <c r="A90" s="7" t="s">
        <v>15</v>
      </c>
      <c r="B90" t="s">
        <v>93</v>
      </c>
      <c r="C90" s="18" t="n">
        <v>1</v>
      </c>
      <c r="D90" t="n">
        <v>3</v>
      </c>
      <c r="E90" s="18" t="n">
        <v>0.298980824236607</v>
      </c>
      <c r="F90" t="n">
        <v>3</v>
      </c>
      <c r="G90" s="18" t="n">
        <v>0.298980824236607</v>
      </c>
      <c r="H90" t="n">
        <v>3</v>
      </c>
      <c r="I90" s="18"/>
      <c r="J90"/>
      <c r="K90" s="18"/>
      <c r="L90"/>
      <c r="M90" s="18" t="n">
        <v>1</v>
      </c>
      <c r="N90" t="n">
        <v>1</v>
      </c>
      <c r="O90" s="18"/>
      <c r="P90"/>
      <c r="Q90" s="18"/>
      <c r="R90"/>
      <c r="S90" s="18"/>
      <c r="T90"/>
      <c r="U90" s="18"/>
      <c r="V90"/>
      <c r="W90" s="18" t="n">
        <v>1</v>
      </c>
      <c r="X90" t="n">
        <v>2</v>
      </c>
      <c r="Y90" s="18" t="n">
        <v>1</v>
      </c>
      <c r="Z90" t="n">
        <v>2</v>
      </c>
      <c r="AA90" s="18" t="n">
        <v>1</v>
      </c>
      <c r="AB90" t="n">
        <v>2</v>
      </c>
      <c r="AC90" s="18"/>
      <c r="AD90"/>
      <c r="AE90" s="18"/>
      <c r="AF90" s="12"/>
    </row>
    <row r="91" outlineLevel="1" hidden="0">
      <c r="A91" s="7" t="s">
        <v>15</v>
      </c>
      <c r="B91" t="s">
        <v>94</v>
      </c>
      <c r="C91" s="18" t="n">
        <v>1</v>
      </c>
      <c r="D91" t="n">
        <v>1</v>
      </c>
      <c r="E91" s="18"/>
      <c r="F91"/>
      <c r="G91" s="18"/>
      <c r="H91"/>
      <c r="I91" s="18"/>
      <c r="J91"/>
      <c r="K91" s="18"/>
      <c r="L91"/>
      <c r="M91" s="18" t="n">
        <v>1</v>
      </c>
      <c r="N91" t="n">
        <v>1</v>
      </c>
      <c r="O91" s="18"/>
      <c r="P91"/>
      <c r="Q91" s="18"/>
      <c r="R91"/>
      <c r="S91" s="18"/>
      <c r="T91"/>
      <c r="U91" s="18"/>
      <c r="V91"/>
      <c r="W91" s="18"/>
      <c r="X91"/>
      <c r="Y91" s="18"/>
      <c r="Z91"/>
      <c r="AA91" s="18"/>
      <c r="AB91"/>
      <c r="AC91" s="18"/>
      <c r="AD91"/>
      <c r="AE91" s="18"/>
      <c r="AF91" s="12"/>
    </row>
    <row r="92" outlineLevel="1" hidden="0">
      <c r="A92" s="7" t="s">
        <v>15</v>
      </c>
      <c r="B92" t="s">
        <v>95</v>
      </c>
      <c r="C92" s="18" t="n">
        <v>0.621243581758118</v>
      </c>
      <c r="D92" t="n">
        <v>12</v>
      </c>
      <c r="E92" s="18"/>
      <c r="F92"/>
      <c r="G92" s="18" t="n">
        <v>0.102686623812557</v>
      </c>
      <c r="H92" t="n">
        <v>9</v>
      </c>
      <c r="I92" s="18"/>
      <c r="J92"/>
      <c r="K92" s="18"/>
      <c r="L92"/>
      <c r="M92" s="18" t="n">
        <v>1</v>
      </c>
      <c r="N92" t="n">
        <v>3</v>
      </c>
      <c r="O92" s="18"/>
      <c r="P92"/>
      <c r="Q92" s="18"/>
      <c r="R92"/>
      <c r="S92" s="18"/>
      <c r="T92"/>
      <c r="U92" s="18"/>
      <c r="V92"/>
      <c r="W92" s="18" t="n">
        <v>0.482812640675483</v>
      </c>
      <c r="X92" t="n">
        <v>9</v>
      </c>
      <c r="Y92" s="18"/>
      <c r="Z92"/>
      <c r="AA92" s="18" t="n">
        <v>0.180420157999767</v>
      </c>
      <c r="AB92" t="n">
        <v>6</v>
      </c>
      <c r="AC92" s="18"/>
      <c r="AD92"/>
      <c r="AE92" s="18"/>
      <c r="AF92" s="12"/>
    </row>
    <row r="93" outlineLevel="1" hidden="0">
      <c r="A93" s="7" t="s">
        <v>15</v>
      </c>
      <c r="B93" t="s">
        <v>96</v>
      </c>
      <c r="C93" s="18" t="n">
        <v>0.859727203781976</v>
      </c>
      <c r="D93" t="n">
        <v>132</v>
      </c>
      <c r="E93" s="18" t="n">
        <v>0.174485436983452</v>
      </c>
      <c r="F93" t="n">
        <v>115</v>
      </c>
      <c r="G93" s="18" t="n">
        <v>0.15900757924772</v>
      </c>
      <c r="H93" t="n">
        <v>115</v>
      </c>
      <c r="I93" s="18"/>
      <c r="J93"/>
      <c r="K93" s="18"/>
      <c r="L93"/>
      <c r="M93" s="18" t="n">
        <v>0.84434615424084</v>
      </c>
      <c r="N93" t="n">
        <v>59</v>
      </c>
      <c r="O93" s="18" t="n">
        <v>0.142973402783712</v>
      </c>
      <c r="P93" t="n">
        <v>51</v>
      </c>
      <c r="Q93" s="18" t="n">
        <v>0.160404165248142</v>
      </c>
      <c r="R93" t="n">
        <v>51</v>
      </c>
      <c r="S93" s="18"/>
      <c r="T93"/>
      <c r="U93" s="18"/>
      <c r="V93"/>
      <c r="W93" s="18" t="n">
        <v>0.869687884788004</v>
      </c>
      <c r="X93" t="n">
        <v>73</v>
      </c>
      <c r="Y93" s="18" t="n">
        <v>0.194297815176416</v>
      </c>
      <c r="Z93" t="n">
        <v>64</v>
      </c>
      <c r="AA93" s="18" t="n">
        <v>0.158129511845153</v>
      </c>
      <c r="AB93" t="n">
        <v>64</v>
      </c>
      <c r="AC93" s="18"/>
      <c r="AD93"/>
      <c r="AE93" s="18"/>
      <c r="AF93" s="12"/>
    </row>
    <row r="94" outlineLevel="1" hidden="0">
      <c r="A94" s="7" t="s">
        <v>15</v>
      </c>
      <c r="B94" t="s">
        <v>97</v>
      </c>
      <c r="C94" s="18" t="n">
        <v>1</v>
      </c>
      <c r="D94" t="n">
        <v>2</v>
      </c>
      <c r="E94" s="18"/>
      <c r="F94"/>
      <c r="G94" s="18" t="n">
        <v>1</v>
      </c>
      <c r="H94" t="n">
        <v>2</v>
      </c>
      <c r="I94" s="18"/>
      <c r="J94"/>
      <c r="K94" s="18"/>
      <c r="L94"/>
      <c r="M94" s="18"/>
      <c r="N94"/>
      <c r="O94" s="18"/>
      <c r="P94"/>
      <c r="Q94" s="18"/>
      <c r="R94"/>
      <c r="S94" s="18"/>
      <c r="T94"/>
      <c r="U94" s="18"/>
      <c r="V94"/>
      <c r="W94" s="18" t="n">
        <v>1</v>
      </c>
      <c r="X94" t="n">
        <v>2</v>
      </c>
      <c r="Y94" s="18"/>
      <c r="Z94"/>
      <c r="AA94" s="18" t="n">
        <v>1</v>
      </c>
      <c r="AB94" t="n">
        <v>2</v>
      </c>
      <c r="AC94" s="18"/>
      <c r="AD94"/>
      <c r="AE94" s="18"/>
      <c r="AF94" s="12"/>
    </row>
    <row r="95" outlineLevel="1" hidden="0">
      <c r="A95" s="7" t="s">
        <v>15</v>
      </c>
      <c r="B95" t="s">
        <v>98</v>
      </c>
      <c r="C95" s="18" t="n">
        <v>1</v>
      </c>
      <c r="D95" t="n">
        <v>8</v>
      </c>
      <c r="E95" s="18" t="n">
        <v>0.394743583553058</v>
      </c>
      <c r="F95" t="n">
        <v>8</v>
      </c>
      <c r="G95" s="18" t="n">
        <v>0.394743583553058</v>
      </c>
      <c r="H95" t="n">
        <v>8</v>
      </c>
      <c r="I95" s="18"/>
      <c r="J95"/>
      <c r="K95" s="18" t="n">
        <v>0.500638930383626</v>
      </c>
      <c r="L95" t="n">
        <v>8</v>
      </c>
      <c r="M95" s="18" t="n">
        <v>1</v>
      </c>
      <c r="N95" t="n">
        <v>3</v>
      </c>
      <c r="O95" s="18" t="n">
        <v>0.375121451918967</v>
      </c>
      <c r="P95" t="n">
        <v>3</v>
      </c>
      <c r="Q95" s="18" t="n">
        <v>0.375121451918967</v>
      </c>
      <c r="R95" t="n">
        <v>3</v>
      </c>
      <c r="S95" s="18"/>
      <c r="T95"/>
      <c r="U95" s="18" t="n">
        <v>0.475752894479719</v>
      </c>
      <c r="V95" t="n">
        <v>3</v>
      </c>
      <c r="W95" s="18" t="n">
        <v>1</v>
      </c>
      <c r="X95" t="n">
        <v>5</v>
      </c>
      <c r="Y95" s="18" t="n">
        <v>0.405345130693344</v>
      </c>
      <c r="Z95" t="n">
        <v>5</v>
      </c>
      <c r="AA95" s="18" t="n">
        <v>0.405345130693344</v>
      </c>
      <c r="AB95" t="n">
        <v>5</v>
      </c>
      <c r="AC95" s="18"/>
      <c r="AD95"/>
      <c r="AE95" s="18" t="n">
        <v>0.514084487048415</v>
      </c>
      <c r="AF95" s="12" t="n">
        <v>5</v>
      </c>
    </row>
    <row r="96" outlineLevel="1" hidden="0">
      <c r="A96" s="7" t="s">
        <v>15</v>
      </c>
      <c r="B96" t="s">
        <v>99</v>
      </c>
      <c r="C96" s="18" t="n">
        <v>1</v>
      </c>
      <c r="D96" t="n">
        <v>1</v>
      </c>
      <c r="E96" s="18"/>
      <c r="F96"/>
      <c r="G96" s="18"/>
      <c r="H96"/>
      <c r="I96" s="18"/>
      <c r="J96"/>
      <c r="K96" s="18"/>
      <c r="L96"/>
      <c r="M96" s="18" t="n">
        <v>1</v>
      </c>
      <c r="N96" t="n">
        <v>1</v>
      </c>
      <c r="O96" s="18"/>
      <c r="P96"/>
      <c r="Q96" s="18"/>
      <c r="R96"/>
      <c r="S96" s="18"/>
      <c r="T96"/>
      <c r="U96" s="18"/>
      <c r="V96"/>
      <c r="W96" s="18"/>
      <c r="X96"/>
      <c r="Y96" s="18"/>
      <c r="Z96"/>
      <c r="AA96" s="18"/>
      <c r="AB96"/>
      <c r="AC96" s="18"/>
      <c r="AD96"/>
      <c r="AE96" s="18"/>
      <c r="AF96" s="12"/>
    </row>
    <row r="97" outlineLevel="1" hidden="0">
      <c r="A97" s="7" t="s">
        <v>15</v>
      </c>
      <c r="B97" t="s">
        <v>100</v>
      </c>
      <c r="C97" s="18" t="n">
        <v>1</v>
      </c>
      <c r="D97" t="n">
        <v>44</v>
      </c>
      <c r="E97" s="18" t="n">
        <v>0.208486418219013</v>
      </c>
      <c r="F97" t="n">
        <v>40</v>
      </c>
      <c r="G97" s="18" t="n">
        <v>0.111899817693244</v>
      </c>
      <c r="H97" t="n">
        <v>43</v>
      </c>
      <c r="I97" s="18" t="n">
        <v>0.0122437701290542</v>
      </c>
      <c r="J97" t="n">
        <v>44</v>
      </c>
      <c r="K97" s="18"/>
      <c r="L97"/>
      <c r="M97" s="18" t="n">
        <v>1</v>
      </c>
      <c r="N97" t="n">
        <v>23</v>
      </c>
      <c r="O97" s="18" t="n">
        <v>0.0744181092640881</v>
      </c>
      <c r="P97" t="n">
        <v>21</v>
      </c>
      <c r="Q97" s="18" t="n">
        <v>0.138978973197444</v>
      </c>
      <c r="R97" t="n">
        <v>22</v>
      </c>
      <c r="S97" s="18" t="n">
        <v>0.0154272747566085</v>
      </c>
      <c r="T97" t="n">
        <v>23</v>
      </c>
      <c r="U97" s="18"/>
      <c r="V97"/>
      <c r="W97" s="18" t="n">
        <v>1</v>
      </c>
      <c r="X97" t="n">
        <v>21</v>
      </c>
      <c r="Y97" s="18" t="n">
        <v>0.350271897120339</v>
      </c>
      <c r="Z97" t="n">
        <v>19</v>
      </c>
      <c r="AA97" s="18" t="n">
        <v>0.0839631060026884</v>
      </c>
      <c r="AB97" t="n">
        <v>21</v>
      </c>
      <c r="AC97" s="18" t="n">
        <v>0.00866685988565283</v>
      </c>
      <c r="AD97" t="n">
        <v>21</v>
      </c>
      <c r="AE97" s="18"/>
      <c r="AF97" s="12"/>
    </row>
    <row r="98" outlineLevel="1" hidden="0">
      <c r="A98" s="7" t="s">
        <v>15</v>
      </c>
      <c r="B98" t="s">
        <v>101</v>
      </c>
      <c r="C98" s="18" t="n">
        <v>1</v>
      </c>
      <c r="D98" t="n">
        <v>2</v>
      </c>
      <c r="E98" s="18"/>
      <c r="F98"/>
      <c r="G98" s="18"/>
      <c r="H98"/>
      <c r="I98" s="18"/>
      <c r="J98"/>
      <c r="K98" s="18"/>
      <c r="L98"/>
      <c r="M98" s="18" t="n">
        <v>1</v>
      </c>
      <c r="N98" t="n">
        <v>1</v>
      </c>
      <c r="O98" s="18"/>
      <c r="P98"/>
      <c r="Q98" s="18"/>
      <c r="R98"/>
      <c r="S98" s="18"/>
      <c r="T98"/>
      <c r="U98" s="18"/>
      <c r="V98"/>
      <c r="W98" s="18" t="n">
        <v>1</v>
      </c>
      <c r="X98" t="n">
        <v>1</v>
      </c>
      <c r="Y98" s="18"/>
      <c r="Z98"/>
      <c r="AA98" s="18"/>
      <c r="AB98"/>
      <c r="AC98" s="18"/>
      <c r="AD98"/>
      <c r="AE98" s="18"/>
      <c r="AF98" s="12"/>
    </row>
    <row r="99" outlineLevel="1" hidden="0">
      <c r="A99" s="7" t="s">
        <v>15</v>
      </c>
      <c r="B99" t="s">
        <v>102</v>
      </c>
      <c r="C99" s="18" t="n">
        <v>1</v>
      </c>
      <c r="D99" t="n">
        <v>2</v>
      </c>
      <c r="E99" s="18" t="n">
        <v>1</v>
      </c>
      <c r="F99" t="n">
        <v>2</v>
      </c>
      <c r="G99" s="18"/>
      <c r="H99"/>
      <c r="I99" s="18"/>
      <c r="J99"/>
      <c r="K99" s="18"/>
      <c r="L99"/>
      <c r="M99" s="18" t="n">
        <v>1</v>
      </c>
      <c r="N99" t="n">
        <v>1</v>
      </c>
      <c r="O99" s="18" t="n">
        <v>1</v>
      </c>
      <c r="P99" t="n">
        <v>1</v>
      </c>
      <c r="Q99" s="18"/>
      <c r="R99"/>
      <c r="S99" s="18"/>
      <c r="T99"/>
      <c r="U99" s="18"/>
      <c r="V99"/>
      <c r="W99" s="18" t="n">
        <v>1</v>
      </c>
      <c r="X99" t="n">
        <v>1</v>
      </c>
      <c r="Y99" s="18" t="n">
        <v>1</v>
      </c>
      <c r="Z99" t="n">
        <v>1</v>
      </c>
      <c r="AA99" s="18"/>
      <c r="AB99"/>
      <c r="AC99" s="18"/>
      <c r="AD99"/>
      <c r="AE99" s="18"/>
      <c r="AF99" s="12"/>
    </row>
    <row r="100" outlineLevel="1" hidden="0">
      <c r="A100" s="7" t="s">
        <v>15</v>
      </c>
      <c r="B100" t="s">
        <v>103</v>
      </c>
      <c r="C100" s="18" t="n">
        <v>1</v>
      </c>
      <c r="D100" t="n">
        <v>6</v>
      </c>
      <c r="E100" s="18"/>
      <c r="F100"/>
      <c r="G100" s="18" t="n">
        <v>0.58326280081332</v>
      </c>
      <c r="H100" t="n">
        <v>6</v>
      </c>
      <c r="I100" s="18"/>
      <c r="J100"/>
      <c r="K100" s="18"/>
      <c r="L100"/>
      <c r="M100" s="18" t="n">
        <v>1</v>
      </c>
      <c r="N100" t="n">
        <v>3</v>
      </c>
      <c r="O100" s="18"/>
      <c r="P100"/>
      <c r="Q100" s="18"/>
      <c r="R100"/>
      <c r="S100" s="18"/>
      <c r="T100"/>
      <c r="U100" s="18"/>
      <c r="V100"/>
      <c r="W100" s="18" t="n">
        <v>1</v>
      </c>
      <c r="X100" t="n">
        <v>3</v>
      </c>
      <c r="Y100" s="18"/>
      <c r="Z100"/>
      <c r="AA100" s="18" t="n">
        <v>1</v>
      </c>
      <c r="AB100" t="n">
        <v>3</v>
      </c>
      <c r="AC100" s="18"/>
      <c r="AD100"/>
      <c r="AE100" s="18"/>
      <c r="AF100" s="12"/>
    </row>
    <row r="101" outlineLevel="1" hidden="0">
      <c r="A101" s="7" t="s">
        <v>15</v>
      </c>
      <c r="B101" t="s">
        <v>104</v>
      </c>
      <c r="C101" s="18" t="n">
        <v>0.83780053760164</v>
      </c>
      <c r="D101" t="n">
        <v>26</v>
      </c>
      <c r="E101" s="18" t="n">
        <v>0.286772656788305</v>
      </c>
      <c r="F101" t="n">
        <v>23</v>
      </c>
      <c r="G101" s="18" t="n">
        <v>0.268040136558457</v>
      </c>
      <c r="H101" t="n">
        <v>23</v>
      </c>
      <c r="I101" s="18" t="n">
        <v>0.0669864456502466</v>
      </c>
      <c r="J101" t="n">
        <v>23</v>
      </c>
      <c r="K101" s="18"/>
      <c r="L101"/>
      <c r="M101" s="18" t="n">
        <v>1</v>
      </c>
      <c r="N101" t="n">
        <v>14</v>
      </c>
      <c r="O101" s="18" t="n">
        <v>0.407852120675914</v>
      </c>
      <c r="P101" t="n">
        <v>14</v>
      </c>
      <c r="Q101" s="18" t="n">
        <v>0.216867336197889</v>
      </c>
      <c r="R101" t="n">
        <v>14</v>
      </c>
      <c r="S101" s="18"/>
      <c r="T101"/>
      <c r="U101" s="18"/>
      <c r="V101"/>
      <c r="W101" s="18" t="n">
        <v>0.704296266424309</v>
      </c>
      <c r="X101" t="n">
        <v>12</v>
      </c>
      <c r="Y101" s="18" t="n">
        <v>0.145271218915386</v>
      </c>
      <c r="Z101" t="n">
        <v>9</v>
      </c>
      <c r="AA101" s="18" t="n">
        <v>0.327844042179692</v>
      </c>
      <c r="AB101" t="n">
        <v>9</v>
      </c>
      <c r="AC101" s="18" t="n">
        <v>0.145271218915386</v>
      </c>
      <c r="AD101" t="n">
        <v>9</v>
      </c>
      <c r="AE101" s="18"/>
      <c r="AF101" s="12"/>
    </row>
    <row r="102" outlineLevel="1" hidden="0">
      <c r="A102" s="7" t="s">
        <v>15</v>
      </c>
      <c r="B102" t="s">
        <v>105</v>
      </c>
      <c r="C102" s="18" t="n">
        <v>1</v>
      </c>
      <c r="D102" t="n">
        <v>2</v>
      </c>
      <c r="E102" s="18" t="n">
        <v>0.195335776603703</v>
      </c>
      <c r="F102" t="n">
        <v>2</v>
      </c>
      <c r="G102" s="18" t="n">
        <v>0.195335776603703</v>
      </c>
      <c r="H102" t="n">
        <v>2</v>
      </c>
      <c r="I102" s="18"/>
      <c r="J102"/>
      <c r="K102" s="18"/>
      <c r="L102"/>
      <c r="M102" s="18" t="n">
        <v>1</v>
      </c>
      <c r="N102" t="n">
        <v>1</v>
      </c>
      <c r="O102" s="18"/>
      <c r="P102"/>
      <c r="Q102" s="18"/>
      <c r="R102"/>
      <c r="S102" s="18"/>
      <c r="T102"/>
      <c r="U102" s="18"/>
      <c r="V102"/>
      <c r="W102" s="18" t="n">
        <v>1</v>
      </c>
      <c r="X102" t="n">
        <v>1</v>
      </c>
      <c r="Y102" s="18" t="n">
        <v>1</v>
      </c>
      <c r="Z102" t="n">
        <v>1</v>
      </c>
      <c r="AA102" s="18" t="n">
        <v>1</v>
      </c>
      <c r="AB102" t="n">
        <v>1</v>
      </c>
      <c r="AC102" s="18"/>
      <c r="AD102"/>
      <c r="AE102" s="18"/>
      <c r="AF102" s="12"/>
    </row>
    <row r="103" outlineLevel="1" hidden="0">
      <c r="A103" s="7" t="s">
        <v>15</v>
      </c>
      <c r="B103" t="s">
        <v>106</v>
      </c>
      <c r="C103" s="18" t="n">
        <v>0.790875927173411</v>
      </c>
      <c r="D103" t="n">
        <v>60</v>
      </c>
      <c r="E103" s="18" t="n">
        <v>0.362115842320569</v>
      </c>
      <c r="F103" t="n">
        <v>49</v>
      </c>
      <c r="G103" s="18" t="n">
        <v>0.0331679171625201</v>
      </c>
      <c r="H103" t="n">
        <v>50</v>
      </c>
      <c r="I103" s="18" t="n">
        <v>0.00250376453159128</v>
      </c>
      <c r="J103" t="n">
        <v>44</v>
      </c>
      <c r="K103" s="18" t="n">
        <v>0.16204972920346</v>
      </c>
      <c r="L103" t="n">
        <v>46</v>
      </c>
      <c r="M103" s="18" t="n">
        <v>0.840136058792986</v>
      </c>
      <c r="N103" t="n">
        <v>38</v>
      </c>
      <c r="O103" s="18" t="n">
        <v>0.37548756477939</v>
      </c>
      <c r="P103" t="n">
        <v>33</v>
      </c>
      <c r="Q103" s="18" t="n">
        <v>0.0337487588236939</v>
      </c>
      <c r="R103" t="n">
        <v>33</v>
      </c>
      <c r="S103" s="18"/>
      <c r="T103"/>
      <c r="U103" s="18" t="n">
        <v>0.23518047747488</v>
      </c>
      <c r="V103" t="n">
        <v>30</v>
      </c>
      <c r="W103" s="18" t="n">
        <v>0.699030017393303</v>
      </c>
      <c r="X103" t="n">
        <v>22</v>
      </c>
      <c r="Y103" s="18" t="n">
        <v>0.331165170647098</v>
      </c>
      <c r="Z103" t="n">
        <v>16</v>
      </c>
      <c r="AA103" s="18" t="n">
        <v>0.0318663223441065</v>
      </c>
      <c r="AB103" t="n">
        <v>17</v>
      </c>
      <c r="AC103" s="18" t="n">
        <v>0.00808969908002801</v>
      </c>
      <c r="AD103" t="n">
        <v>15</v>
      </c>
      <c r="AE103" s="18"/>
      <c r="AF103" s="12"/>
    </row>
    <row r="104" outlineLevel="1" hidden="0">
      <c r="A104" s="7" t="s">
        <v>15</v>
      </c>
      <c r="B104" t="s">
        <v>107</v>
      </c>
      <c r="C104" s="18" t="n">
        <v>1</v>
      </c>
      <c r="D104" t="n">
        <v>1</v>
      </c>
      <c r="E104" s="18"/>
      <c r="F104"/>
      <c r="G104" s="18"/>
      <c r="H104"/>
      <c r="I104" s="18"/>
      <c r="J104"/>
      <c r="K104" s="18"/>
      <c r="L104"/>
      <c r="M104" s="18"/>
      <c r="N104"/>
      <c r="O104" s="18"/>
      <c r="P104"/>
      <c r="Q104" s="18"/>
      <c r="R104"/>
      <c r="S104" s="18"/>
      <c r="T104"/>
      <c r="U104" s="18"/>
      <c r="V104"/>
      <c r="W104" s="18" t="n">
        <v>1</v>
      </c>
      <c r="X104" t="n">
        <v>1</v>
      </c>
      <c r="Y104" s="18"/>
      <c r="Z104"/>
      <c r="AA104" s="18"/>
      <c r="AB104"/>
      <c r="AC104" s="18"/>
      <c r="AD104"/>
      <c r="AE104" s="18"/>
      <c r="AF104" s="12"/>
    </row>
    <row r="105" outlineLevel="1" hidden="0">
      <c r="A105" s="7" t="s">
        <v>15</v>
      </c>
      <c r="B105" t="s">
        <v>108</v>
      </c>
      <c r="C105" s="18" t="n">
        <v>1</v>
      </c>
      <c r="D105" t="n">
        <v>1</v>
      </c>
      <c r="E105" s="18"/>
      <c r="F105"/>
      <c r="G105" s="18"/>
      <c r="H105"/>
      <c r="I105" s="18"/>
      <c r="J105"/>
      <c r="K105" s="18"/>
      <c r="L105"/>
      <c r="M105" s="18"/>
      <c r="N105"/>
      <c r="O105" s="18"/>
      <c r="P105"/>
      <c r="Q105" s="18"/>
      <c r="R105"/>
      <c r="S105" s="18"/>
      <c r="T105"/>
      <c r="U105" s="18"/>
      <c r="V105"/>
      <c r="W105" s="18" t="n">
        <v>1</v>
      </c>
      <c r="X105" t="n">
        <v>1</v>
      </c>
      <c r="Y105" s="18"/>
      <c r="Z105"/>
      <c r="AA105" s="18"/>
      <c r="AB105"/>
      <c r="AC105" s="18"/>
      <c r="AD105"/>
      <c r="AE105" s="18"/>
      <c r="AF105" s="12"/>
    </row>
    <row r="106" outlineLevel="1" hidden="0">
      <c r="A106" s="7" t="s">
        <v>15</v>
      </c>
      <c r="B106" t="s">
        <v>109</v>
      </c>
      <c r="C106" s="18" t="n">
        <v>0.812076800947611</v>
      </c>
      <c r="D106" t="n">
        <v>681</v>
      </c>
      <c r="E106" s="18" t="n">
        <v>0.2114967704043</v>
      </c>
      <c r="F106" t="n">
        <v>546</v>
      </c>
      <c r="G106" s="18" t="n">
        <v>0.122678948749795</v>
      </c>
      <c r="H106" t="n">
        <v>554</v>
      </c>
      <c r="I106" s="18" t="n">
        <v>0.0360409536373871</v>
      </c>
      <c r="J106" t="n">
        <v>547</v>
      </c>
      <c r="K106" s="18" t="n">
        <v>0.0226338127076931</v>
      </c>
      <c r="L106" t="n">
        <v>548</v>
      </c>
      <c r="M106" s="18" t="n">
        <v>0.800327381213517</v>
      </c>
      <c r="N106" t="n">
        <v>321</v>
      </c>
      <c r="O106" s="18" t="n">
        <v>0.235039877130124</v>
      </c>
      <c r="P106" t="n">
        <v>254</v>
      </c>
      <c r="Q106" s="18" t="n">
        <v>0.119334900414217</v>
      </c>
      <c r="R106" t="n">
        <v>257</v>
      </c>
      <c r="S106" s="18" t="n">
        <v>0.029123933927205</v>
      </c>
      <c r="T106" t="n">
        <v>255</v>
      </c>
      <c r="U106" s="18" t="n">
        <v>0.0104756089656349</v>
      </c>
      <c r="V106" t="n">
        <v>256</v>
      </c>
      <c r="W106" s="18" t="n">
        <v>0.82282060212318</v>
      </c>
      <c r="X106" t="n">
        <v>360</v>
      </c>
      <c r="Y106" s="18" t="n">
        <v>0.190646406767353</v>
      </c>
      <c r="Z106" t="n">
        <v>292</v>
      </c>
      <c r="AA106" s="18" t="n">
        <v>0.125644962935916</v>
      </c>
      <c r="AB106" t="n">
        <v>297</v>
      </c>
      <c r="AC106" s="18" t="n">
        <v>0.0421952103748595</v>
      </c>
      <c r="AD106" t="n">
        <v>292</v>
      </c>
      <c r="AE106" s="18" t="n">
        <v>0.0335451006457683</v>
      </c>
      <c r="AF106" s="12" t="n">
        <v>292</v>
      </c>
    </row>
    <row r="107" outlineLevel="1" hidden="0">
      <c r="A107" s="7" t="s">
        <v>15</v>
      </c>
      <c r="B107" t="s">
        <v>110</v>
      </c>
      <c r="C107" s="18" t="n">
        <v>0.948484479909553</v>
      </c>
      <c r="D107" t="n">
        <v>64</v>
      </c>
      <c r="E107" s="18" t="n">
        <v>0.248431604582492</v>
      </c>
      <c r="F107" t="n">
        <v>58</v>
      </c>
      <c r="G107" s="18" t="n">
        <v>0.127251264123593</v>
      </c>
      <c r="H107" t="n">
        <v>60</v>
      </c>
      <c r="I107" s="18"/>
      <c r="J107"/>
      <c r="K107" s="18"/>
      <c r="L107"/>
      <c r="M107" s="18" t="n">
        <v>0.933348746979024</v>
      </c>
      <c r="N107" t="n">
        <v>32</v>
      </c>
      <c r="O107" s="18" t="n">
        <v>0.382522089617749</v>
      </c>
      <c r="P107" t="n">
        <v>29</v>
      </c>
      <c r="Q107" s="18" t="n">
        <v>0.225536765050858</v>
      </c>
      <c r="R107" t="n">
        <v>29</v>
      </c>
      <c r="S107" s="18"/>
      <c r="T107"/>
      <c r="U107" s="18"/>
      <c r="V107"/>
      <c r="W107" s="18" t="n">
        <v>0.960301626215722</v>
      </c>
      <c r="X107" t="n">
        <v>32</v>
      </c>
      <c r="Y107" s="18" t="n">
        <v>0.123156383361848</v>
      </c>
      <c r="Z107" t="n">
        <v>29</v>
      </c>
      <c r="AA107" s="18" t="n">
        <v>0.0526691145263355</v>
      </c>
      <c r="AB107" t="n">
        <v>31</v>
      </c>
      <c r="AC107" s="18"/>
      <c r="AD107"/>
      <c r="AE107" s="18"/>
      <c r="AF107" s="12"/>
    </row>
    <row r="108" outlineLevel="1" hidden="0">
      <c r="A108" s="7" t="s">
        <v>15</v>
      </c>
      <c r="B108" t="s">
        <v>111</v>
      </c>
      <c r="C108" s="18" t="n">
        <v>1</v>
      </c>
      <c r="D108" t="n">
        <v>2</v>
      </c>
      <c r="E108" s="18"/>
      <c r="F108"/>
      <c r="G108" s="18"/>
      <c r="H108"/>
      <c r="I108" s="18"/>
      <c r="J108"/>
      <c r="K108" s="18"/>
      <c r="L108"/>
      <c r="M108" s="18" t="n">
        <v>1</v>
      </c>
      <c r="N108" t="n">
        <v>1</v>
      </c>
      <c r="O108" s="18"/>
      <c r="P108"/>
      <c r="Q108" s="18"/>
      <c r="R108"/>
      <c r="S108" s="18"/>
      <c r="T108"/>
      <c r="U108" s="18"/>
      <c r="V108"/>
      <c r="W108" s="18" t="n">
        <v>1</v>
      </c>
      <c r="X108" t="n">
        <v>1</v>
      </c>
      <c r="Y108" s="18"/>
      <c r="Z108"/>
      <c r="AA108" s="18"/>
      <c r="AB108"/>
      <c r="AC108" s="18"/>
      <c r="AD108"/>
      <c r="AE108" s="18"/>
      <c r="AF108" s="12"/>
    </row>
    <row r="109" outlineLevel="1" hidden="0">
      <c r="A109" s="7" t="s">
        <v>15</v>
      </c>
      <c r="B109" t="s">
        <v>112</v>
      </c>
      <c r="C109" s="18" t="n">
        <v>0.680752978212229</v>
      </c>
      <c r="D109" t="n">
        <v>8</v>
      </c>
      <c r="E109" s="18" t="n">
        <v>0.336833118904174</v>
      </c>
      <c r="F109" t="n">
        <v>5</v>
      </c>
      <c r="G109" s="18" t="n">
        <v>0.221055627031942</v>
      </c>
      <c r="H109" t="n">
        <v>5</v>
      </c>
      <c r="I109" s="18" t="n">
        <v>0.336833118904174</v>
      </c>
      <c r="J109" t="n">
        <v>5</v>
      </c>
      <c r="K109" s="18" t="n">
        <v>0.221055627031942</v>
      </c>
      <c r="L109" t="n">
        <v>5</v>
      </c>
      <c r="M109" s="18" t="n">
        <v>0.585769970873508</v>
      </c>
      <c r="N109" t="n">
        <v>6</v>
      </c>
      <c r="O109" s="18" t="n">
        <v>0.333333333333333</v>
      </c>
      <c r="P109" t="n">
        <v>3</v>
      </c>
      <c r="Q109" s="18" t="n">
        <v>0.333333333333333</v>
      </c>
      <c r="R109" t="n">
        <v>3</v>
      </c>
      <c r="S109" s="18" t="n">
        <v>0.333333333333333</v>
      </c>
      <c r="T109" t="n">
        <v>3</v>
      </c>
      <c r="U109" s="18" t="n">
        <v>0.333333333333333</v>
      </c>
      <c r="V109" t="n">
        <v>3</v>
      </c>
      <c r="W109" s="18" t="n">
        <v>1</v>
      </c>
      <c r="X109" t="n">
        <v>2</v>
      </c>
      <c r="Y109" s="18" t="n">
        <v>0.343723598940904</v>
      </c>
      <c r="Z109" t="n">
        <v>2</v>
      </c>
      <c r="AA109" s="18"/>
      <c r="AB109"/>
      <c r="AC109" s="18" t="n">
        <v>0.343723598940904</v>
      </c>
      <c r="AD109" t="n">
        <v>2</v>
      </c>
      <c r="AE109" s="18"/>
      <c r="AF109" s="12"/>
    </row>
    <row r="110" outlineLevel="1" hidden="0">
      <c r="A110" s="7" t="s">
        <v>15</v>
      </c>
      <c r="B110" t="s">
        <v>113</v>
      </c>
      <c r="C110" s="18" t="n">
        <v>0.901263140993072</v>
      </c>
      <c r="D110" t="n">
        <v>7</v>
      </c>
      <c r="E110" s="18" t="n">
        <v>0.438215453471813</v>
      </c>
      <c r="F110" t="n">
        <v>6</v>
      </c>
      <c r="G110" s="18" t="n">
        <v>0.438215453471813</v>
      </c>
      <c r="H110" t="n">
        <v>6</v>
      </c>
      <c r="I110" s="18"/>
      <c r="J110"/>
      <c r="K110" s="18"/>
      <c r="L110"/>
      <c r="M110" s="18" t="n">
        <v>1</v>
      </c>
      <c r="N110" t="n">
        <v>3</v>
      </c>
      <c r="O110" s="18" t="n">
        <v>1</v>
      </c>
      <c r="P110" t="n">
        <v>3</v>
      </c>
      <c r="Q110" s="18" t="n">
        <v>1</v>
      </c>
      <c r="R110" t="n">
        <v>3</v>
      </c>
      <c r="S110" s="18"/>
      <c r="T110"/>
      <c r="U110" s="18"/>
      <c r="V110"/>
      <c r="W110" s="18" t="n">
        <v>0.859706816011864</v>
      </c>
      <c r="X110" t="n">
        <v>4</v>
      </c>
      <c r="Y110" s="18" t="n">
        <v>0.163187241714506</v>
      </c>
      <c r="Z110" t="n">
        <v>3</v>
      </c>
      <c r="AA110" s="18" t="n">
        <v>0.163187241714506</v>
      </c>
      <c r="AB110" t="n">
        <v>3</v>
      </c>
      <c r="AC110" s="18"/>
      <c r="AD110"/>
      <c r="AE110" s="18"/>
      <c r="AF110" s="12"/>
    </row>
    <row r="111" outlineLevel="1" hidden="0">
      <c r="A111" s="7" t="s">
        <v>15</v>
      </c>
      <c r="B111" t="s">
        <v>114</v>
      </c>
      <c r="C111" s="18" t="n">
        <v>0.902930230896812</v>
      </c>
      <c r="D111" t="n">
        <v>80</v>
      </c>
      <c r="E111" s="18" t="n">
        <v>0.239871231870433</v>
      </c>
      <c r="F111" t="n">
        <v>74</v>
      </c>
      <c r="G111" s="18" t="n">
        <v>0.217199520525463</v>
      </c>
      <c r="H111" t="n">
        <v>74</v>
      </c>
      <c r="I111" s="18" t="n">
        <v>0.02035626823452</v>
      </c>
      <c r="J111" t="n">
        <v>73</v>
      </c>
      <c r="K111" s="18" t="n">
        <v>0.0547279583791887</v>
      </c>
      <c r="L111" t="n">
        <v>72</v>
      </c>
      <c r="M111" s="18" t="n">
        <v>0.895944770646761</v>
      </c>
      <c r="N111" t="n">
        <v>43</v>
      </c>
      <c r="O111" s="18" t="n">
        <v>0.245283067819986</v>
      </c>
      <c r="P111" t="n">
        <v>39</v>
      </c>
      <c r="Q111" s="18" t="n">
        <v>0.231856651350794</v>
      </c>
      <c r="R111" t="n">
        <v>39</v>
      </c>
      <c r="S111" s="18"/>
      <c r="T111"/>
      <c r="U111" s="18" t="n">
        <v>0.049596302216626</v>
      </c>
      <c r="V111" t="n">
        <v>37</v>
      </c>
      <c r="W111" s="18" t="n">
        <v>0.912188987045922</v>
      </c>
      <c r="X111" t="n">
        <v>37</v>
      </c>
      <c r="Y111" s="18" t="n">
        <v>0.232825945380961</v>
      </c>
      <c r="Z111" t="n">
        <v>35</v>
      </c>
      <c r="AA111" s="18" t="n">
        <v>0.1981184384785</v>
      </c>
      <c r="AB111" t="n">
        <v>35</v>
      </c>
      <c r="AC111" s="18" t="n">
        <v>0.0461339083081048</v>
      </c>
      <c r="AD111" t="n">
        <v>35</v>
      </c>
      <c r="AE111" s="18" t="n">
        <v>0.0610441014232504</v>
      </c>
      <c r="AF111" s="12" t="n">
        <v>35</v>
      </c>
    </row>
    <row r="112" outlineLevel="1" hidden="0">
      <c r="A112" s="7" t="s">
        <v>15</v>
      </c>
      <c r="B112" t="s">
        <v>115</v>
      </c>
      <c r="C112" s="18" t="n">
        <v>0.464929979126124</v>
      </c>
      <c r="D112" t="n">
        <v>5</v>
      </c>
      <c r="E112" s="18"/>
      <c r="F112"/>
      <c r="G112" s="18"/>
      <c r="H112"/>
      <c r="I112" s="18"/>
      <c r="J112"/>
      <c r="K112" s="18"/>
      <c r="L112"/>
      <c r="M112" s="18" t="n">
        <v>1</v>
      </c>
      <c r="N112" t="n">
        <v>2</v>
      </c>
      <c r="O112" s="18"/>
      <c r="P112"/>
      <c r="Q112" s="18"/>
      <c r="R112"/>
      <c r="S112" s="18"/>
      <c r="T112"/>
      <c r="U112" s="18"/>
      <c r="V112"/>
      <c r="W112" s="18" t="n">
        <v>0.302872164008161</v>
      </c>
      <c r="X112" t="n">
        <v>3</v>
      </c>
      <c r="Y112" s="18"/>
      <c r="Z112"/>
      <c r="AA112" s="18"/>
      <c r="AB112"/>
      <c r="AC112" s="18"/>
      <c r="AD112"/>
      <c r="AE112" s="18"/>
      <c r="AF112" s="12"/>
    </row>
    <row r="113" outlineLevel="1" hidden="0">
      <c r="A113" s="7" t="s">
        <v>15</v>
      </c>
      <c r="B113" t="s">
        <v>116</v>
      </c>
      <c r="C113" s="18" t="n">
        <v>0.883742554811508</v>
      </c>
      <c r="D113" t="n">
        <v>14</v>
      </c>
      <c r="E113" s="18" t="n">
        <v>0.33546617483297</v>
      </c>
      <c r="F113" t="n">
        <v>11</v>
      </c>
      <c r="G113" s="18" t="n">
        <v>0.0596817957360261</v>
      </c>
      <c r="H113" t="n">
        <v>12</v>
      </c>
      <c r="I113" s="18"/>
      <c r="J113"/>
      <c r="K113" s="18" t="n">
        <v>0.0550367855067475</v>
      </c>
      <c r="L113" t="n">
        <v>11</v>
      </c>
      <c r="M113" s="18" t="n">
        <v>1</v>
      </c>
      <c r="N113" t="n">
        <v>6</v>
      </c>
      <c r="O113" s="18" t="n">
        <v>0.249754895956585</v>
      </c>
      <c r="P113" t="n">
        <v>5</v>
      </c>
      <c r="Q113" s="18" t="n">
        <v>0.0950329921218346</v>
      </c>
      <c r="R113" t="n">
        <v>6</v>
      </c>
      <c r="S113" s="18"/>
      <c r="T113"/>
      <c r="U113" s="18" t="n">
        <v>0.0950329921218346</v>
      </c>
      <c r="V113" t="n">
        <v>6</v>
      </c>
      <c r="W113" s="18" t="n">
        <v>0.7630836382675</v>
      </c>
      <c r="X113" t="n">
        <v>8</v>
      </c>
      <c r="Y113" s="18" t="n">
        <v>0.437608758074981</v>
      </c>
      <c r="Z113" t="n">
        <v>6</v>
      </c>
      <c r="AA113" s="18" t="n">
        <v>0.0116011135664116</v>
      </c>
      <c r="AB113" t="n">
        <v>6</v>
      </c>
      <c r="AC113" s="18"/>
      <c r="AD113"/>
      <c r="AE113" s="18"/>
      <c r="AF113" s="12"/>
    </row>
    <row r="114" outlineLevel="1" hidden="0">
      <c r="A114" s="7" t="s">
        <v>15</v>
      </c>
      <c r="B114" t="s">
        <v>117</v>
      </c>
      <c r="C114" s="18" t="n">
        <v>0.666666666666667</v>
      </c>
      <c r="D114" t="n">
        <v>3</v>
      </c>
      <c r="E114" s="18"/>
      <c r="F114"/>
      <c r="G114" s="18"/>
      <c r="H114"/>
      <c r="I114" s="18"/>
      <c r="J114"/>
      <c r="K114" s="18"/>
      <c r="L114"/>
      <c r="M114" s="18" t="n">
        <v>1</v>
      </c>
      <c r="N114" t="n">
        <v>1</v>
      </c>
      <c r="O114" s="18"/>
      <c r="P114"/>
      <c r="Q114" s="18"/>
      <c r="R114"/>
      <c r="S114" s="18"/>
      <c r="T114"/>
      <c r="U114" s="18"/>
      <c r="V114"/>
      <c r="W114" s="18" t="n">
        <v>0.5</v>
      </c>
      <c r="X114" t="n">
        <v>2</v>
      </c>
      <c r="Y114" s="18"/>
      <c r="Z114"/>
      <c r="AA114" s="18"/>
      <c r="AB114"/>
      <c r="AC114" s="18"/>
      <c r="AD114"/>
      <c r="AE114" s="18"/>
      <c r="AF114" s="12"/>
    </row>
    <row r="115" outlineLevel="1" hidden="0">
      <c r="A115" s="7" t="s">
        <v>15</v>
      </c>
      <c r="B115" t="s">
        <v>118</v>
      </c>
      <c r="C115" s="18" t="n">
        <v>1</v>
      </c>
      <c r="D115" t="n">
        <v>1</v>
      </c>
      <c r="E115" s="18"/>
      <c r="F115"/>
      <c r="G115" s="18"/>
      <c r="H115"/>
      <c r="I115" s="18"/>
      <c r="J115"/>
      <c r="K115" s="18"/>
      <c r="L115"/>
      <c r="M115" s="18"/>
      <c r="N115"/>
      <c r="O115" s="18"/>
      <c r="P115"/>
      <c r="Q115" s="18"/>
      <c r="R115"/>
      <c r="S115" s="18"/>
      <c r="T115"/>
      <c r="U115" s="18"/>
      <c r="V115"/>
      <c r="W115" s="18" t="n">
        <v>1</v>
      </c>
      <c r="X115" t="n">
        <v>1</v>
      </c>
      <c r="Y115" s="18"/>
      <c r="Z115"/>
      <c r="AA115" s="18"/>
      <c r="AB115"/>
      <c r="AC115" s="18"/>
      <c r="AD115"/>
      <c r="AE115" s="18"/>
      <c r="AF115" s="12"/>
    </row>
    <row r="116" outlineLevel="1" hidden="0">
      <c r="A116" s="7" t="s">
        <v>15</v>
      </c>
      <c r="B116" t="s">
        <v>119</v>
      </c>
      <c r="C116" s="18" t="n">
        <v>0.840230635289764</v>
      </c>
      <c r="D116" t="n">
        <v>68</v>
      </c>
      <c r="E116" s="18" t="n">
        <v>0.0890297768028456</v>
      </c>
      <c r="F116" t="n">
        <v>54</v>
      </c>
      <c r="G116" s="18" t="n">
        <v>0.23161744419637</v>
      </c>
      <c r="H116" t="n">
        <v>57</v>
      </c>
      <c r="I116" s="18"/>
      <c r="J116"/>
      <c r="K116" s="18" t="n">
        <v>0.099832298059605</v>
      </c>
      <c r="L116" t="n">
        <v>54</v>
      </c>
      <c r="M116" s="18" t="n">
        <v>0.959984635947032</v>
      </c>
      <c r="N116" t="n">
        <v>36</v>
      </c>
      <c r="O116" s="18" t="n">
        <v>0.0897478760733505</v>
      </c>
      <c r="P116" t="n">
        <v>32</v>
      </c>
      <c r="Q116" s="18" t="n">
        <v>0.189614546952141</v>
      </c>
      <c r="R116" t="n">
        <v>34</v>
      </c>
      <c r="S116" s="18"/>
      <c r="T116"/>
      <c r="U116" s="18" t="n">
        <v>0.0831253099739425</v>
      </c>
      <c r="V116" t="n">
        <v>32</v>
      </c>
      <c r="W116" s="18" t="n">
        <v>0.721613872263218</v>
      </c>
      <c r="X116" t="n">
        <v>32</v>
      </c>
      <c r="Y116" s="18" t="n">
        <v>0.0880928438468722</v>
      </c>
      <c r="Z116" t="n">
        <v>22</v>
      </c>
      <c r="AA116" s="18" t="n">
        <v>0.286964521754114</v>
      </c>
      <c r="AB116" t="n">
        <v>23</v>
      </c>
      <c r="AC116" s="18"/>
      <c r="AD116"/>
      <c r="AE116" s="18" t="n">
        <v>0.121630576341529</v>
      </c>
      <c r="AF116" s="12" t="n">
        <v>22</v>
      </c>
    </row>
    <row r="117" outlineLevel="1" hidden="0">
      <c r="A117" s="7" t="s">
        <v>15</v>
      </c>
      <c r="B117" t="s">
        <v>120</v>
      </c>
      <c r="C117" s="18" t="n">
        <v>1</v>
      </c>
      <c r="D117" t="n">
        <v>8</v>
      </c>
      <c r="E117" s="18" t="n">
        <v>0.111564633411151</v>
      </c>
      <c r="F117" t="n">
        <v>8</v>
      </c>
      <c r="G117" s="18"/>
      <c r="H117"/>
      <c r="I117" s="18"/>
      <c r="J117"/>
      <c r="K117" s="18"/>
      <c r="L117"/>
      <c r="M117" s="18" t="n">
        <v>1</v>
      </c>
      <c r="N117" t="n">
        <v>4</v>
      </c>
      <c r="O117" s="18"/>
      <c r="P117"/>
      <c r="Q117" s="18"/>
      <c r="R117"/>
      <c r="S117" s="18"/>
      <c r="T117"/>
      <c r="U117" s="18"/>
      <c r="V117"/>
      <c r="W117" s="18" t="n">
        <v>1</v>
      </c>
      <c r="X117" t="n">
        <v>4</v>
      </c>
      <c r="Y117" s="18" t="n">
        <v>0.25</v>
      </c>
      <c r="Z117" t="n">
        <v>4</v>
      </c>
      <c r="AA117" s="18"/>
      <c r="AB117"/>
      <c r="AC117" s="18"/>
      <c r="AD117"/>
      <c r="AE117" s="18"/>
      <c r="AF117" s="12"/>
    </row>
    <row r="118" outlineLevel="1" hidden="0">
      <c r="A118" s="7" t="s">
        <v>15</v>
      </c>
      <c r="B118" t="s">
        <v>121</v>
      </c>
      <c r="C118" s="18" t="n">
        <v>0.52424071842099</v>
      </c>
      <c r="D118" t="n">
        <v>65</v>
      </c>
      <c r="E118" s="18" t="n">
        <v>0.320228374700369</v>
      </c>
      <c r="F118" t="n">
        <v>37</v>
      </c>
      <c r="G118" s="18" t="n">
        <v>0.0588325281552641</v>
      </c>
      <c r="H118" t="n">
        <v>38</v>
      </c>
      <c r="I118" s="18" t="n">
        <v>0.0766223426126979</v>
      </c>
      <c r="J118" t="n">
        <v>35</v>
      </c>
      <c r="K118" s="18"/>
      <c r="L118"/>
      <c r="M118" s="18" t="n">
        <v>0.571389124750641</v>
      </c>
      <c r="N118" t="n">
        <v>34</v>
      </c>
      <c r="O118" s="18" t="n">
        <v>0.43168305529</v>
      </c>
      <c r="P118" t="n">
        <v>20</v>
      </c>
      <c r="Q118" s="18" t="n">
        <v>0.033226541161013</v>
      </c>
      <c r="R118" t="n">
        <v>21</v>
      </c>
      <c r="S118" s="18" t="n">
        <v>0.130219302798165</v>
      </c>
      <c r="T118" t="n">
        <v>19</v>
      </c>
      <c r="U118" s="18"/>
      <c r="V118"/>
      <c r="W118" s="18" t="n">
        <v>0.468554068342</v>
      </c>
      <c r="X118" t="n">
        <v>31</v>
      </c>
      <c r="Y118" s="18" t="n">
        <v>0.167920479265428</v>
      </c>
      <c r="Z118" t="n">
        <v>17</v>
      </c>
      <c r="AA118" s="18" t="n">
        <v>0.0957131175507663</v>
      </c>
      <c r="AB118" t="n">
        <v>17</v>
      </c>
      <c r="AC118" s="18"/>
      <c r="AD118"/>
      <c r="AE118" s="18"/>
      <c r="AF118" s="12"/>
    </row>
    <row r="119" outlineLevel="1" hidden="0">
      <c r="A119" s="7" t="s">
        <v>15</v>
      </c>
      <c r="B119" t="s">
        <v>122</v>
      </c>
      <c r="C119" s="18" t="n">
        <v>0.860041218148126</v>
      </c>
      <c r="D119" t="n">
        <v>94</v>
      </c>
      <c r="E119" s="18" t="n">
        <v>0.247962771545761</v>
      </c>
      <c r="F119" t="n">
        <v>78</v>
      </c>
      <c r="G119" s="18" t="n">
        <v>0.118206357910488</v>
      </c>
      <c r="H119" t="n">
        <v>83</v>
      </c>
      <c r="I119" s="18" t="n">
        <v>0.0205095271059015</v>
      </c>
      <c r="J119" t="n">
        <v>75</v>
      </c>
      <c r="K119" s="18" t="n">
        <v>0.11740805688491</v>
      </c>
      <c r="L119" t="n">
        <v>78</v>
      </c>
      <c r="M119" s="18" t="n">
        <v>0.87450774496273</v>
      </c>
      <c r="N119" t="n">
        <v>44</v>
      </c>
      <c r="O119" s="18" t="n">
        <v>0.180491995903902</v>
      </c>
      <c r="P119" t="n">
        <v>36</v>
      </c>
      <c r="Q119" s="18" t="n">
        <v>0.116718436669771</v>
      </c>
      <c r="R119" t="n">
        <v>39</v>
      </c>
      <c r="S119" s="18" t="n">
        <v>0.0411070705062083</v>
      </c>
      <c r="T119" t="n">
        <v>35</v>
      </c>
      <c r="U119" s="18" t="n">
        <v>0.116415907016515</v>
      </c>
      <c r="V119" t="n">
        <v>36</v>
      </c>
      <c r="W119" s="18" t="n">
        <v>0.845615977439522</v>
      </c>
      <c r="X119" t="n">
        <v>50</v>
      </c>
      <c r="Y119" s="18" t="n">
        <v>0.320539436425157</v>
      </c>
      <c r="Z119" t="n">
        <v>42</v>
      </c>
      <c r="AA119" s="18" t="n">
        <v>0.119740724792189</v>
      </c>
      <c r="AB119" t="n">
        <v>44</v>
      </c>
      <c r="AC119" s="18"/>
      <c r="AD119"/>
      <c r="AE119" s="18" t="n">
        <v>0.118417263230857</v>
      </c>
      <c r="AF119" s="12" t="n">
        <v>42</v>
      </c>
    </row>
    <row r="120" outlineLevel="1" hidden="0">
      <c r="A120" s="7" t="s">
        <v>15</v>
      </c>
      <c r="B120" t="s">
        <v>123</v>
      </c>
      <c r="C120" s="18" t="n">
        <v>1</v>
      </c>
      <c r="D120" t="n">
        <v>7</v>
      </c>
      <c r="E120" s="18" t="n">
        <v>0.35848808486866</v>
      </c>
      <c r="F120" t="n">
        <v>7</v>
      </c>
      <c r="G120" s="18"/>
      <c r="H120"/>
      <c r="I120" s="18"/>
      <c r="J120"/>
      <c r="K120" s="18"/>
      <c r="L120"/>
      <c r="M120" s="18" t="n">
        <v>1</v>
      </c>
      <c r="N120" t="n">
        <v>7</v>
      </c>
      <c r="O120" s="18" t="n">
        <v>0.35848808486866</v>
      </c>
      <c r="P120" t="n">
        <v>7</v>
      </c>
      <c r="Q120" s="18"/>
      <c r="R120"/>
      <c r="S120" s="18"/>
      <c r="T120"/>
      <c r="U120" s="18"/>
      <c r="V120"/>
      <c r="W120" s="18"/>
      <c r="X120"/>
      <c r="Y120" s="18"/>
      <c r="Z120"/>
      <c r="AA120" s="18"/>
      <c r="AB120"/>
      <c r="AC120" s="18"/>
      <c r="AD120"/>
      <c r="AE120" s="18"/>
      <c r="AF120" s="12"/>
    </row>
    <row r="121" outlineLevel="1" hidden="0">
      <c r="A121" s="7" t="s">
        <v>15</v>
      </c>
      <c r="B121" t="s">
        <v>124</v>
      </c>
      <c r="C121" s="18" t="n">
        <v>1</v>
      </c>
      <c r="D121" t="n">
        <v>2</v>
      </c>
      <c r="E121" s="18"/>
      <c r="F121"/>
      <c r="G121" s="18"/>
      <c r="H121"/>
      <c r="I121" s="18"/>
      <c r="J121"/>
      <c r="K121" s="18"/>
      <c r="L121"/>
      <c r="M121" s="18" t="n">
        <v>1</v>
      </c>
      <c r="N121" t="n">
        <v>1</v>
      </c>
      <c r="O121" s="18"/>
      <c r="P121"/>
      <c r="Q121" s="18"/>
      <c r="R121"/>
      <c r="S121" s="18"/>
      <c r="T121"/>
      <c r="U121" s="18"/>
      <c r="V121"/>
      <c r="W121" s="18" t="n">
        <v>1</v>
      </c>
      <c r="X121" t="n">
        <v>1</v>
      </c>
      <c r="Y121" s="18"/>
      <c r="Z121"/>
      <c r="AA121" s="18"/>
      <c r="AB121"/>
      <c r="AC121" s="18"/>
      <c r="AD121"/>
      <c r="AE121" s="18"/>
      <c r="AF121" s="12"/>
    </row>
    <row r="122" outlineLevel="1" hidden="0">
      <c r="A122" s="7" t="s">
        <v>15</v>
      </c>
      <c r="B122" t="s">
        <v>125</v>
      </c>
      <c r="C122" s="18" t="n">
        <v>1</v>
      </c>
      <c r="D122" t="n">
        <v>11</v>
      </c>
      <c r="E122" s="18" t="n">
        <v>0.366617419847916</v>
      </c>
      <c r="F122" t="n">
        <v>11</v>
      </c>
      <c r="G122" s="18"/>
      <c r="H122"/>
      <c r="I122" s="18"/>
      <c r="J122"/>
      <c r="K122" s="18"/>
      <c r="L122"/>
      <c r="M122" s="18" t="n">
        <v>1</v>
      </c>
      <c r="N122" t="n">
        <v>6</v>
      </c>
      <c r="O122" s="18" t="n">
        <v>0.050128672659305</v>
      </c>
      <c r="P122" t="n">
        <v>6</v>
      </c>
      <c r="Q122" s="18"/>
      <c r="R122"/>
      <c r="S122" s="18"/>
      <c r="T122"/>
      <c r="U122" s="18"/>
      <c r="V122"/>
      <c r="W122" s="18" t="n">
        <v>1</v>
      </c>
      <c r="X122" t="n">
        <v>5</v>
      </c>
      <c r="Y122" s="18" t="n">
        <v>0.804368827942041</v>
      </c>
      <c r="Z122" t="n">
        <v>5</v>
      </c>
      <c r="AA122" s="18"/>
      <c r="AB122"/>
      <c r="AC122" s="18"/>
      <c r="AD122"/>
      <c r="AE122" s="18"/>
      <c r="AF122" s="12"/>
    </row>
    <row r="123" outlineLevel="1" hidden="0">
      <c r="A123" s="7" t="s">
        <v>15</v>
      </c>
      <c r="B123" t="s">
        <v>126</v>
      </c>
      <c r="C123" s="18" t="n">
        <v>1</v>
      </c>
      <c r="D123" t="n">
        <v>2</v>
      </c>
      <c r="E123" s="18" t="n">
        <v>0.747385841428245</v>
      </c>
      <c r="F123" t="n">
        <v>2</v>
      </c>
      <c r="G123" s="18"/>
      <c r="H123"/>
      <c r="I123" s="18"/>
      <c r="J123"/>
      <c r="K123" s="18"/>
      <c r="L123"/>
      <c r="M123" s="18" t="n">
        <v>1</v>
      </c>
      <c r="N123" t="n">
        <v>1</v>
      </c>
      <c r="O123" s="18"/>
      <c r="P123"/>
      <c r="Q123" s="18"/>
      <c r="R123"/>
      <c r="S123" s="18"/>
      <c r="T123"/>
      <c r="U123" s="18"/>
      <c r="V123"/>
      <c r="W123" s="18" t="n">
        <v>1</v>
      </c>
      <c r="X123" t="n">
        <v>1</v>
      </c>
      <c r="Y123" s="18" t="n">
        <v>1</v>
      </c>
      <c r="Z123" t="n">
        <v>1</v>
      </c>
      <c r="AA123" s="18"/>
      <c r="AB123"/>
      <c r="AC123" s="18"/>
      <c r="AD123"/>
      <c r="AE123" s="18"/>
      <c r="AF123" s="12"/>
    </row>
    <row r="124" outlineLevel="1" hidden="0">
      <c r="A124" s="7" t="s">
        <v>15</v>
      </c>
      <c r="B124" t="s">
        <v>127</v>
      </c>
      <c r="C124" s="18" t="n">
        <v>1</v>
      </c>
      <c r="D124" t="n">
        <v>1</v>
      </c>
      <c r="E124" s="18"/>
      <c r="F124"/>
      <c r="G124" s="18"/>
      <c r="H124"/>
      <c r="I124" s="18"/>
      <c r="J124"/>
      <c r="K124" s="18"/>
      <c r="L124"/>
      <c r="M124" s="18"/>
      <c r="N124"/>
      <c r="O124" s="18"/>
      <c r="P124"/>
      <c r="Q124" s="18"/>
      <c r="R124"/>
      <c r="S124" s="18"/>
      <c r="T124"/>
      <c r="U124" s="18"/>
      <c r="V124"/>
      <c r="W124" s="18" t="n">
        <v>1</v>
      </c>
      <c r="X124" t="n">
        <v>1</v>
      </c>
      <c r="Y124" s="18"/>
      <c r="Z124"/>
      <c r="AA124" s="18"/>
      <c r="AB124"/>
      <c r="AC124" s="18"/>
      <c r="AD124"/>
      <c r="AE124" s="18"/>
      <c r="AF124" s="12"/>
    </row>
    <row r="125" outlineLevel="1" hidden="0">
      <c r="A125" s="7" t="s">
        <v>15</v>
      </c>
      <c r="B125" t="s">
        <v>128</v>
      </c>
      <c r="C125" s="18" t="n">
        <v>0.976098321009555</v>
      </c>
      <c r="D125" t="n">
        <v>24</v>
      </c>
      <c r="E125" s="18" t="n">
        <v>0.0731403250841938</v>
      </c>
      <c r="F125" t="n">
        <v>23</v>
      </c>
      <c r="G125" s="18" t="n">
        <v>0.229656830062703</v>
      </c>
      <c r="H125" t="n">
        <v>23</v>
      </c>
      <c r="I125" s="18"/>
      <c r="J125"/>
      <c r="K125" s="18"/>
      <c r="L125"/>
      <c r="M125" s="18" t="n">
        <v>0.905301229808766</v>
      </c>
      <c r="N125" t="n">
        <v>7</v>
      </c>
      <c r="O125" s="18"/>
      <c r="P125"/>
      <c r="Q125" s="18" t="n">
        <v>0.327020137187632</v>
      </c>
      <c r="R125" t="n">
        <v>6</v>
      </c>
      <c r="S125" s="18"/>
      <c r="T125"/>
      <c r="U125" s="18"/>
      <c r="V125"/>
      <c r="W125" s="18" t="n">
        <v>1</v>
      </c>
      <c r="X125" t="n">
        <v>17</v>
      </c>
      <c r="Y125" s="18" t="n">
        <v>0.0954947237351234</v>
      </c>
      <c r="Z125" t="n">
        <v>17</v>
      </c>
      <c r="AA125" s="18" t="n">
        <v>0.199898988831643</v>
      </c>
      <c r="AB125" t="n">
        <v>17</v>
      </c>
      <c r="AC125" s="18"/>
      <c r="AD125"/>
      <c r="AE125" s="18"/>
      <c r="AF125" s="12"/>
    </row>
    <row r="126" outlineLevel="1" hidden="0">
      <c r="A126" s="7" t="s">
        <v>15</v>
      </c>
      <c r="B126" t="s">
        <v>129</v>
      </c>
      <c r="C126" s="18" t="n">
        <v>0.578048823931167</v>
      </c>
      <c r="D126" t="n">
        <v>5</v>
      </c>
      <c r="E126" s="18"/>
      <c r="F126"/>
      <c r="G126" s="18"/>
      <c r="H126"/>
      <c r="I126" s="18"/>
      <c r="J126"/>
      <c r="K126" s="18"/>
      <c r="L126"/>
      <c r="M126" s="18"/>
      <c r="N126"/>
      <c r="O126" s="18"/>
      <c r="P126"/>
      <c r="Q126" s="18"/>
      <c r="R126"/>
      <c r="S126" s="18"/>
      <c r="T126"/>
      <c r="U126" s="18"/>
      <c r="V126"/>
      <c r="W126" s="18" t="n">
        <v>0.578048823931167</v>
      </c>
      <c r="X126" t="n">
        <v>5</v>
      </c>
      <c r="Y126" s="18"/>
      <c r="Z126"/>
      <c r="AA126" s="18"/>
      <c r="AB126"/>
      <c r="AC126" s="18"/>
      <c r="AD126"/>
      <c r="AE126" s="18"/>
      <c r="AF126" s="12"/>
    </row>
    <row r="127" outlineLevel="1" hidden="0">
      <c r="A127" s="7" t="s">
        <v>15</v>
      </c>
      <c r="B127" t="s">
        <v>130</v>
      </c>
      <c r="C127" s="18" t="n">
        <v>0.917721347785024</v>
      </c>
      <c r="D127" t="n">
        <v>190</v>
      </c>
      <c r="E127" s="18" t="n">
        <v>0.327034182723538</v>
      </c>
      <c r="F127" t="n">
        <v>161</v>
      </c>
      <c r="G127" s="18" t="n">
        <v>0.0622239587852389</v>
      </c>
      <c r="H127" t="n">
        <v>169</v>
      </c>
      <c r="I127" s="18" t="n">
        <v>0.0512727274339653</v>
      </c>
      <c r="J127" t="n">
        <v>161</v>
      </c>
      <c r="K127" s="18" t="n">
        <v>0.0974450623248362</v>
      </c>
      <c r="L127" t="n">
        <v>154</v>
      </c>
      <c r="M127" s="18" t="n">
        <v>0.880711324083108</v>
      </c>
      <c r="N127" t="n">
        <v>115</v>
      </c>
      <c r="O127" s="18" t="n">
        <v>0.399396444833319</v>
      </c>
      <c r="P127" t="n">
        <v>94</v>
      </c>
      <c r="Q127" s="18" t="n">
        <v>0.0677653022518394</v>
      </c>
      <c r="R127" t="n">
        <v>99</v>
      </c>
      <c r="S127" s="18" t="n">
        <v>0.0874143771194444</v>
      </c>
      <c r="T127" t="n">
        <v>97</v>
      </c>
      <c r="U127" s="18" t="n">
        <v>0.118493883746834</v>
      </c>
      <c r="V127" t="n">
        <v>90</v>
      </c>
      <c r="W127" s="18" t="n">
        <v>0.970340562211293</v>
      </c>
      <c r="X127" t="n">
        <v>75</v>
      </c>
      <c r="Y127" s="18" t="n">
        <v>0.235085723072893</v>
      </c>
      <c r="Z127" t="n">
        <v>67</v>
      </c>
      <c r="AA127" s="18" t="n">
        <v>0.0552032953224704</v>
      </c>
      <c r="AB127" t="n">
        <v>70</v>
      </c>
      <c r="AC127" s="18"/>
      <c r="AD127"/>
      <c r="AE127" s="18" t="n">
        <v>0.0719007044265901</v>
      </c>
      <c r="AF127" s="12" t="n">
        <v>64</v>
      </c>
    </row>
    <row r="128" outlineLevel="1" hidden="0">
      <c r="A128" s="7" t="s">
        <v>15</v>
      </c>
      <c r="B128" t="s">
        <v>131</v>
      </c>
      <c r="C128" s="18" t="n">
        <v>1</v>
      </c>
      <c r="D128" t="n">
        <v>8</v>
      </c>
      <c r="E128" s="18" t="n">
        <v>0.192730250722767</v>
      </c>
      <c r="F128" t="n">
        <v>7</v>
      </c>
      <c r="G128" s="18"/>
      <c r="H128"/>
      <c r="I128" s="18" t="n">
        <v>0.484762377593702</v>
      </c>
      <c r="J128" t="n">
        <v>8</v>
      </c>
      <c r="K128" s="18"/>
      <c r="L128"/>
      <c r="M128" s="18" t="n">
        <v>1</v>
      </c>
      <c r="N128" t="n">
        <v>5</v>
      </c>
      <c r="O128" s="18" t="n">
        <v>0.25</v>
      </c>
      <c r="P128" t="n">
        <v>4</v>
      </c>
      <c r="Q128" s="18"/>
      <c r="R128"/>
      <c r="S128" s="18" t="n">
        <v>0.6</v>
      </c>
      <c r="T128" t="n">
        <v>5</v>
      </c>
      <c r="U128" s="18"/>
      <c r="V128"/>
      <c r="W128" s="18" t="n">
        <v>1</v>
      </c>
      <c r="X128" t="n">
        <v>3</v>
      </c>
      <c r="Y128" s="18"/>
      <c r="Z128"/>
      <c r="AA128" s="18"/>
      <c r="AB128"/>
      <c r="AC128" s="18"/>
      <c r="AD128"/>
      <c r="AE128" s="18"/>
      <c r="AF128" s="12"/>
    </row>
    <row r="129" outlineLevel="1" hidden="0">
      <c r="A129" s="7" t="s">
        <v>15</v>
      </c>
      <c r="B129" t="s">
        <v>132</v>
      </c>
      <c r="C129" s="18" t="n">
        <v>1</v>
      </c>
      <c r="D129" t="n">
        <v>1</v>
      </c>
      <c r="E129" s="18"/>
      <c r="F129"/>
      <c r="G129" s="18"/>
      <c r="H129"/>
      <c r="I129" s="18"/>
      <c r="J129"/>
      <c r="K129" s="18"/>
      <c r="L129"/>
      <c r="M129" s="18" t="n">
        <v>1</v>
      </c>
      <c r="N129" t="n">
        <v>1</v>
      </c>
      <c r="O129" s="18"/>
      <c r="P129"/>
      <c r="Q129" s="18"/>
      <c r="R129"/>
      <c r="S129" s="18"/>
      <c r="T129"/>
      <c r="U129" s="18"/>
      <c r="V129"/>
      <c r="W129" s="18"/>
      <c r="X129"/>
      <c r="Y129" s="18"/>
      <c r="Z129"/>
      <c r="AA129" s="18"/>
      <c r="AB129"/>
      <c r="AC129" s="18"/>
      <c r="AD129"/>
      <c r="AE129" s="18"/>
      <c r="AF129" s="12"/>
    </row>
    <row r="130" outlineLevel="1" hidden="0">
      <c r="A130" s="7" t="s">
        <v>15</v>
      </c>
      <c r="B130" t="s">
        <v>133</v>
      </c>
      <c r="C130" s="18" t="n">
        <v>1</v>
      </c>
      <c r="D130" t="n">
        <v>2</v>
      </c>
      <c r="E130" s="18"/>
      <c r="F130"/>
      <c r="G130" s="18"/>
      <c r="H130"/>
      <c r="I130" s="18"/>
      <c r="J130"/>
      <c r="K130" s="18"/>
      <c r="L130"/>
      <c r="M130" s="18" t="n">
        <v>1</v>
      </c>
      <c r="N130" t="n">
        <v>1</v>
      </c>
      <c r="O130" s="18"/>
      <c r="P130"/>
      <c r="Q130" s="18"/>
      <c r="R130"/>
      <c r="S130" s="18"/>
      <c r="T130"/>
      <c r="U130" s="18"/>
      <c r="V130"/>
      <c r="W130" s="18" t="n">
        <v>1</v>
      </c>
      <c r="X130" t="n">
        <v>1</v>
      </c>
      <c r="Y130" s="18"/>
      <c r="Z130"/>
      <c r="AA130" s="18"/>
      <c r="AB130"/>
      <c r="AC130" s="18"/>
      <c r="AD130"/>
      <c r="AE130" s="18"/>
      <c r="AF130" s="12"/>
    </row>
    <row r="131" outlineLevel="1" hidden="0">
      <c r="A131" s="7" t="s">
        <v>15</v>
      </c>
      <c r="B131" t="s">
        <v>134</v>
      </c>
      <c r="C131" s="18" t="n">
        <v>1</v>
      </c>
      <c r="D131" t="n">
        <v>2</v>
      </c>
      <c r="E131" s="18" t="n">
        <v>0.5</v>
      </c>
      <c r="F131" t="n">
        <v>2</v>
      </c>
      <c r="G131" s="18"/>
      <c r="H131"/>
      <c r="I131" s="18"/>
      <c r="J131"/>
      <c r="K131" s="18"/>
      <c r="L131"/>
      <c r="M131" s="18" t="n">
        <v>1</v>
      </c>
      <c r="N131" t="n">
        <v>1</v>
      </c>
      <c r="O131" s="18" t="n">
        <v>1</v>
      </c>
      <c r="P131" t="n">
        <v>1</v>
      </c>
      <c r="Q131" s="18"/>
      <c r="R131"/>
      <c r="S131" s="18"/>
      <c r="T131"/>
      <c r="U131" s="18"/>
      <c r="V131"/>
      <c r="W131" s="18" t="n">
        <v>1</v>
      </c>
      <c r="X131" t="n">
        <v>1</v>
      </c>
      <c r="Y131" s="18"/>
      <c r="Z131"/>
      <c r="AA131" s="18"/>
      <c r="AB131"/>
      <c r="AC131" s="18"/>
      <c r="AD131"/>
      <c r="AE131" s="18"/>
      <c r="AF131" s="12"/>
    </row>
    <row r="132" outlineLevel="1" hidden="0">
      <c r="A132" s="7" t="s">
        <v>15</v>
      </c>
      <c r="B132" t="s">
        <v>135</v>
      </c>
      <c r="C132" s="18" t="n">
        <v>0.940221376738575</v>
      </c>
      <c r="D132" t="n">
        <v>45</v>
      </c>
      <c r="E132" s="18" t="n">
        <v>0.309854833017752</v>
      </c>
      <c r="F132" t="n">
        <v>37</v>
      </c>
      <c r="G132" s="18" t="n">
        <v>0.10285469132099</v>
      </c>
      <c r="H132" t="n">
        <v>42</v>
      </c>
      <c r="I132" s="18" t="n">
        <v>0.0638160765723136</v>
      </c>
      <c r="J132" t="n">
        <v>38</v>
      </c>
      <c r="K132" s="18"/>
      <c r="L132"/>
      <c r="M132" s="18" t="n">
        <v>0.901813609336978</v>
      </c>
      <c r="N132" t="n">
        <v>24</v>
      </c>
      <c r="O132" s="18" t="n">
        <v>0.442133470303141</v>
      </c>
      <c r="P132" t="n">
        <v>20</v>
      </c>
      <c r="Q132" s="18" t="n">
        <v>0.0113910531237655</v>
      </c>
      <c r="R132" t="n">
        <v>22</v>
      </c>
      <c r="S132" s="18" t="n">
        <v>0.0609529251274462</v>
      </c>
      <c r="T132" t="n">
        <v>21</v>
      </c>
      <c r="U132" s="18"/>
      <c r="V132"/>
      <c r="W132" s="18" t="n">
        <v>0.975730251181137</v>
      </c>
      <c r="X132" t="n">
        <v>21</v>
      </c>
      <c r="Y132" s="18" t="n">
        <v>0.189062241205438</v>
      </c>
      <c r="Z132" t="n">
        <v>17</v>
      </c>
      <c r="AA132" s="18" t="n">
        <v>0.181009072919305</v>
      </c>
      <c r="AB132" t="n">
        <v>20</v>
      </c>
      <c r="AC132" s="18" t="n">
        <v>0.0669614682696922</v>
      </c>
      <c r="AD132" t="n">
        <v>17</v>
      </c>
      <c r="AE132" s="18"/>
      <c r="AF132" s="12"/>
    </row>
    <row r="133" outlineLevel="1" hidden="0">
      <c r="A133" s="7" t="s">
        <v>15</v>
      </c>
      <c r="B133" t="s">
        <v>136</v>
      </c>
      <c r="C133" s="18" t="n">
        <v>0.290633587862803</v>
      </c>
      <c r="D133" t="n">
        <v>3</v>
      </c>
      <c r="E133" s="18" t="n">
        <v>1</v>
      </c>
      <c r="F133" t="n">
        <v>2</v>
      </c>
      <c r="G133" s="18" t="n">
        <v>1</v>
      </c>
      <c r="H133" t="n">
        <v>2</v>
      </c>
      <c r="I133" s="18"/>
      <c r="J133"/>
      <c r="K133" s="18"/>
      <c r="L133"/>
      <c r="M133" s="18" t="n">
        <v>1</v>
      </c>
      <c r="N133" t="n">
        <v>2</v>
      </c>
      <c r="O133" s="18" t="n">
        <v>1</v>
      </c>
      <c r="P133" t="n">
        <v>2</v>
      </c>
      <c r="Q133" s="18" t="n">
        <v>1</v>
      </c>
      <c r="R133" t="n">
        <v>2</v>
      </c>
      <c r="S133" s="18"/>
      <c r="T133"/>
      <c r="U133" s="18"/>
      <c r="V133"/>
      <c r="W133" s="18"/>
      <c r="X133"/>
      <c r="Y133" s="18"/>
      <c r="Z133"/>
      <c r="AA133" s="18"/>
      <c r="AB133"/>
      <c r="AC133" s="18"/>
      <c r="AD133"/>
      <c r="AE133" s="18"/>
      <c r="AF133" s="12"/>
    </row>
    <row r="134" outlineLevel="1" hidden="0">
      <c r="A134" s="7" t="s">
        <v>15</v>
      </c>
      <c r="B134" t="s">
        <v>137</v>
      </c>
      <c r="C134" s="18" t="n">
        <v>0.75</v>
      </c>
      <c r="D134" t="n">
        <v>4</v>
      </c>
      <c r="E134" s="18"/>
      <c r="F134"/>
      <c r="G134" s="18"/>
      <c r="H134"/>
      <c r="I134" s="18"/>
      <c r="J134"/>
      <c r="K134" s="18"/>
      <c r="L134"/>
      <c r="M134" s="18" t="n">
        <v>0.5</v>
      </c>
      <c r="N134" t="n">
        <v>2</v>
      </c>
      <c r="O134" s="18"/>
      <c r="P134"/>
      <c r="Q134" s="18"/>
      <c r="R134"/>
      <c r="S134" s="18"/>
      <c r="T134"/>
      <c r="U134" s="18"/>
      <c r="V134"/>
      <c r="W134" s="18" t="n">
        <v>1</v>
      </c>
      <c r="X134" t="n">
        <v>2</v>
      </c>
      <c r="Y134" s="18"/>
      <c r="Z134"/>
      <c r="AA134" s="18"/>
      <c r="AB134"/>
      <c r="AC134" s="18"/>
      <c r="AD134"/>
      <c r="AE134" s="18"/>
      <c r="AF134" s="12"/>
    </row>
    <row r="135" outlineLevel="1" hidden="0">
      <c r="A135" s="7" t="s">
        <v>15</v>
      </c>
      <c r="B135" t="s">
        <v>138</v>
      </c>
      <c r="C135" s="18" t="n">
        <v>1</v>
      </c>
      <c r="D135" t="n">
        <v>1</v>
      </c>
      <c r="E135" s="18"/>
      <c r="F135"/>
      <c r="G135" s="18"/>
      <c r="H135"/>
      <c r="I135" s="18"/>
      <c r="J135"/>
      <c r="K135" s="18"/>
      <c r="L135"/>
      <c r="M135" s="18" t="n">
        <v>1</v>
      </c>
      <c r="N135" t="n">
        <v>1</v>
      </c>
      <c r="O135" s="18"/>
      <c r="P135"/>
      <c r="Q135" s="18"/>
      <c r="R135"/>
      <c r="S135" s="18"/>
      <c r="T135"/>
      <c r="U135" s="18"/>
      <c r="V135"/>
      <c r="W135" s="18"/>
      <c r="X135"/>
      <c r="Y135" s="18"/>
      <c r="Z135"/>
      <c r="AA135" s="18"/>
      <c r="AB135"/>
      <c r="AC135" s="18"/>
      <c r="AD135"/>
      <c r="AE135" s="18"/>
      <c r="AF135" s="12"/>
    </row>
    <row r="136" outlineLevel="1" hidden="0">
      <c r="A136" s="7" t="s">
        <v>15</v>
      </c>
      <c r="B136" t="s">
        <v>139</v>
      </c>
      <c r="C136" s="18" t="n">
        <v>1</v>
      </c>
      <c r="D136" t="n">
        <v>7</v>
      </c>
      <c r="E136" s="18"/>
      <c r="F136"/>
      <c r="G136" s="18"/>
      <c r="H136"/>
      <c r="I136" s="18"/>
      <c r="J136"/>
      <c r="K136" s="18"/>
      <c r="L136"/>
      <c r="M136" s="18" t="n">
        <v>1</v>
      </c>
      <c r="N136" t="n">
        <v>4</v>
      </c>
      <c r="O136" s="18"/>
      <c r="P136"/>
      <c r="Q136" s="18"/>
      <c r="R136"/>
      <c r="S136" s="18"/>
      <c r="T136"/>
      <c r="U136" s="18"/>
      <c r="V136"/>
      <c r="W136" s="18" t="n">
        <v>1</v>
      </c>
      <c r="X136" t="n">
        <v>3</v>
      </c>
      <c r="Y136" s="18"/>
      <c r="Z136"/>
      <c r="AA136" s="18"/>
      <c r="AB136"/>
      <c r="AC136" s="18"/>
      <c r="AD136"/>
      <c r="AE136" s="18"/>
      <c r="AF136" s="12"/>
    </row>
    <row r="137" outlineLevel="1" hidden="0">
      <c r="A137" s="7" t="s">
        <v>15</v>
      </c>
      <c r="B137" t="s">
        <v>140</v>
      </c>
      <c r="C137" s="18" t="n">
        <v>1</v>
      </c>
      <c r="D137" t="n">
        <v>2</v>
      </c>
      <c r="E137" s="18" t="n">
        <v>1</v>
      </c>
      <c r="F137" t="n">
        <v>2</v>
      </c>
      <c r="G137" s="18"/>
      <c r="H137"/>
      <c r="I137" s="18" t="n">
        <v>1</v>
      </c>
      <c r="J137" t="n">
        <v>2</v>
      </c>
      <c r="K137" s="18"/>
      <c r="L137"/>
      <c r="M137" s="18" t="n">
        <v>1</v>
      </c>
      <c r="N137" t="n">
        <v>2</v>
      </c>
      <c r="O137" s="18" t="n">
        <v>1</v>
      </c>
      <c r="P137" t="n">
        <v>2</v>
      </c>
      <c r="Q137" s="18"/>
      <c r="R137"/>
      <c r="S137" s="18" t="n">
        <v>1</v>
      </c>
      <c r="T137" t="n">
        <v>2</v>
      </c>
      <c r="U137" s="18"/>
      <c r="V137"/>
      <c r="W137" s="18"/>
      <c r="X137"/>
      <c r="Y137" s="18"/>
      <c r="Z137"/>
      <c r="AA137" s="18"/>
      <c r="AB137"/>
      <c r="AC137" s="18"/>
      <c r="AD137"/>
      <c r="AE137" s="18"/>
      <c r="AF137" s="12"/>
    </row>
    <row r="138" outlineLevel="1" hidden="0">
      <c r="A138" s="7" t="s">
        <v>15</v>
      </c>
      <c r="B138" t="s">
        <v>141</v>
      </c>
      <c r="C138" s="18" t="n">
        <v>1</v>
      </c>
      <c r="D138" t="n">
        <v>1</v>
      </c>
      <c r="E138" s="18" t="n">
        <v>1</v>
      </c>
      <c r="F138" t="n">
        <v>1</v>
      </c>
      <c r="G138" s="18"/>
      <c r="H138"/>
      <c r="I138" s="18"/>
      <c r="J138"/>
      <c r="K138" s="18"/>
      <c r="L138"/>
      <c r="M138" s="18" t="n">
        <v>1</v>
      </c>
      <c r="N138" t="n">
        <v>1</v>
      </c>
      <c r="O138" s="18" t="n">
        <v>1</v>
      </c>
      <c r="P138" t="n">
        <v>1</v>
      </c>
      <c r="Q138" s="18"/>
      <c r="R138"/>
      <c r="S138" s="18"/>
      <c r="T138"/>
      <c r="U138" s="18"/>
      <c r="V138"/>
      <c r="W138" s="18"/>
      <c r="X138"/>
      <c r="Y138" s="18"/>
      <c r="Z138"/>
      <c r="AA138" s="18"/>
      <c r="AB138"/>
      <c r="AC138" s="18"/>
      <c r="AD138"/>
      <c r="AE138" s="18"/>
      <c r="AF138" s="12"/>
    </row>
    <row r="139" outlineLevel="1" hidden="0">
      <c r="A139" s="7" t="s">
        <v>15</v>
      </c>
      <c r="B139" t="s">
        <v>142</v>
      </c>
      <c r="C139" s="18" t="n">
        <v>1</v>
      </c>
      <c r="D139" t="n">
        <v>32</v>
      </c>
      <c r="E139" s="18" t="n">
        <v>0.726177323182405</v>
      </c>
      <c r="F139" t="n">
        <v>17</v>
      </c>
      <c r="G139" s="18" t="n">
        <v>0.0314105417076819</v>
      </c>
      <c r="H139" t="n">
        <v>30</v>
      </c>
      <c r="I139" s="18" t="n">
        <v>0.119510542984092</v>
      </c>
      <c r="J139" t="n">
        <v>30</v>
      </c>
      <c r="K139" s="18"/>
      <c r="L139"/>
      <c r="M139" s="18" t="n">
        <v>1</v>
      </c>
      <c r="N139" t="n">
        <v>20</v>
      </c>
      <c r="O139" s="18" t="n">
        <v>0.932842307793576</v>
      </c>
      <c r="P139" t="n">
        <v>9</v>
      </c>
      <c r="Q139" s="18" t="n">
        <v>0.0456370026160928</v>
      </c>
      <c r="R139" t="n">
        <v>19</v>
      </c>
      <c r="S139" s="18" t="n">
        <v>0.173639251865619</v>
      </c>
      <c r="T139" t="n">
        <v>19</v>
      </c>
      <c r="U139" s="18"/>
      <c r="V139"/>
      <c r="W139" s="18" t="n">
        <v>1</v>
      </c>
      <c r="X139" t="n">
        <v>12</v>
      </c>
      <c r="Y139" s="18" t="n">
        <v>0.414491595580964</v>
      </c>
      <c r="Z139" t="n">
        <v>8</v>
      </c>
      <c r="AA139" s="18"/>
      <c r="AB139"/>
      <c r="AC139" s="18"/>
      <c r="AD139"/>
      <c r="AE139" s="18"/>
      <c r="AF139" s="12"/>
    </row>
    <row r="140" outlineLevel="1" hidden="0">
      <c r="A140" s="7" t="s">
        <v>15</v>
      </c>
      <c r="B140" t="s">
        <v>143</v>
      </c>
      <c r="C140" s="18" t="n">
        <v>1</v>
      </c>
      <c r="D140" t="n">
        <v>1</v>
      </c>
      <c r="E140" s="18"/>
      <c r="F140"/>
      <c r="G140" s="18"/>
      <c r="H140"/>
      <c r="I140" s="18"/>
      <c r="J140"/>
      <c r="K140" s="18"/>
      <c r="L140"/>
      <c r="M140" s="18" t="n">
        <v>1</v>
      </c>
      <c r="N140" t="n">
        <v>1</v>
      </c>
      <c r="O140" s="18"/>
      <c r="P140"/>
      <c r="Q140" s="18"/>
      <c r="R140"/>
      <c r="S140" s="18"/>
      <c r="T140"/>
      <c r="U140" s="18"/>
      <c r="V140"/>
      <c r="W140" s="18"/>
      <c r="X140"/>
      <c r="Y140" s="18"/>
      <c r="Z140"/>
      <c r="AA140" s="18"/>
      <c r="AB140"/>
      <c r="AC140" s="18"/>
      <c r="AD140"/>
      <c r="AE140" s="18"/>
      <c r="AF140" s="12"/>
    </row>
    <row r="141" outlineLevel="1" hidden="0">
      <c r="A141" s="7" t="s">
        <v>15</v>
      </c>
      <c r="B141" t="s">
        <v>144</v>
      </c>
      <c r="C141" s="18" t="n">
        <v>1</v>
      </c>
      <c r="D141" t="n">
        <v>6</v>
      </c>
      <c r="E141" s="18" t="n">
        <v>0.0356466161315166</v>
      </c>
      <c r="F141" t="n">
        <v>5</v>
      </c>
      <c r="G141" s="18"/>
      <c r="H141"/>
      <c r="I141" s="18"/>
      <c r="J141"/>
      <c r="K141" s="18"/>
      <c r="L141"/>
      <c r="M141" s="18" t="n">
        <v>1</v>
      </c>
      <c r="N141" t="n">
        <v>1</v>
      </c>
      <c r="O141" s="18"/>
      <c r="P141"/>
      <c r="Q141" s="18"/>
      <c r="R141"/>
      <c r="S141" s="18"/>
      <c r="T141"/>
      <c r="U141" s="18"/>
      <c r="V141"/>
      <c r="W141" s="18" t="n">
        <v>1</v>
      </c>
      <c r="X141" t="n">
        <v>5</v>
      </c>
      <c r="Y141" s="18" t="n">
        <v>0.0356466161315166</v>
      </c>
      <c r="Z141" t="n">
        <v>5</v>
      </c>
      <c r="AA141" s="18"/>
      <c r="AB141"/>
      <c r="AC141" s="18"/>
      <c r="AD141"/>
      <c r="AE141" s="18"/>
      <c r="AF141" s="12"/>
    </row>
    <row r="142" outlineLevel="1" hidden="0">
      <c r="A142" s="7" t="s">
        <v>15</v>
      </c>
      <c r="B142" t="s">
        <v>145</v>
      </c>
      <c r="C142" s="18" t="n">
        <v>0.846490913164125</v>
      </c>
      <c r="D142" t="n">
        <v>178</v>
      </c>
      <c r="E142" s="18" t="n">
        <v>0.415208791000662</v>
      </c>
      <c r="F142" t="n">
        <v>141</v>
      </c>
      <c r="G142" s="18" t="n">
        <v>0.111332785380917</v>
      </c>
      <c r="H142" t="n">
        <v>141</v>
      </c>
      <c r="I142" s="18" t="n">
        <v>0.0269632403218127</v>
      </c>
      <c r="J142" t="n">
        <v>135</v>
      </c>
      <c r="K142" s="18" t="n">
        <v>0.0885474430849538</v>
      </c>
      <c r="L142" t="n">
        <v>136</v>
      </c>
      <c r="M142" s="18" t="n">
        <v>0.879705486211922</v>
      </c>
      <c r="N142" t="n">
        <v>91</v>
      </c>
      <c r="O142" s="18" t="n">
        <v>0.420431480469033</v>
      </c>
      <c r="P142" t="n">
        <v>75</v>
      </c>
      <c r="Q142" s="18" t="n">
        <v>0.0738502601446891</v>
      </c>
      <c r="R142" t="n">
        <v>75</v>
      </c>
      <c r="S142" s="18" t="n">
        <v>0.025879202311909</v>
      </c>
      <c r="T142" t="n">
        <v>72</v>
      </c>
      <c r="U142" s="18" t="n">
        <v>0.0939543276190515</v>
      </c>
      <c r="V142" t="n">
        <v>73</v>
      </c>
      <c r="W142" s="18" t="n">
        <v>0.812256193709354</v>
      </c>
      <c r="X142" t="n">
        <v>87</v>
      </c>
      <c r="Y142" s="18" t="n">
        <v>0.409378683374998</v>
      </c>
      <c r="Z142" t="n">
        <v>66</v>
      </c>
      <c r="AA142" s="18" t="n">
        <v>0.153174667333171</v>
      </c>
      <c r="AB142" t="n">
        <v>66</v>
      </c>
      <c r="AC142" s="18" t="n">
        <v>0.0281494230886705</v>
      </c>
      <c r="AD142" t="n">
        <v>63</v>
      </c>
      <c r="AE142" s="18" t="n">
        <v>0.0826052345606133</v>
      </c>
      <c r="AF142" s="12" t="n">
        <v>63</v>
      </c>
    </row>
    <row r="143" outlineLevel="1" hidden="0">
      <c r="A143" s="7" t="s">
        <v>15</v>
      </c>
      <c r="B143" t="s">
        <v>146</v>
      </c>
      <c r="C143" s="18" t="n">
        <v>0.887832809257112</v>
      </c>
      <c r="D143" t="n">
        <v>8</v>
      </c>
      <c r="E143" s="18" t="n">
        <v>0.46241101142454</v>
      </c>
      <c r="F143" t="n">
        <v>7</v>
      </c>
      <c r="G143" s="18" t="n">
        <v>0.126338190674371</v>
      </c>
      <c r="H143" t="n">
        <v>7</v>
      </c>
      <c r="I143" s="18"/>
      <c r="J143"/>
      <c r="K143" s="18"/>
      <c r="L143"/>
      <c r="M143" s="18" t="n">
        <v>1</v>
      </c>
      <c r="N143" t="n">
        <v>3</v>
      </c>
      <c r="O143" s="18" t="n">
        <v>0.577624794601565</v>
      </c>
      <c r="P143" t="n">
        <v>3</v>
      </c>
      <c r="Q143" s="18"/>
      <c r="R143"/>
      <c r="S143" s="18"/>
      <c r="T143"/>
      <c r="U143" s="18"/>
      <c r="V143"/>
      <c r="W143" s="18" t="n">
        <v>0.825996950987824</v>
      </c>
      <c r="X143" t="n">
        <v>5</v>
      </c>
      <c r="Y143" s="18" t="n">
        <v>0.385515579042942</v>
      </c>
      <c r="Z143" t="n">
        <v>4</v>
      </c>
      <c r="AA143" s="18" t="n">
        <v>0.210658221926949</v>
      </c>
      <c r="AB143" t="n">
        <v>4</v>
      </c>
      <c r="AC143" s="18"/>
      <c r="AD143"/>
      <c r="AE143" s="18"/>
      <c r="AF143" s="12"/>
    </row>
    <row r="144" outlineLevel="1" hidden="0">
      <c r="A144" s="7" t="s">
        <v>15</v>
      </c>
      <c r="B144" t="s">
        <v>147</v>
      </c>
      <c r="C144" s="18" t="n">
        <v>1</v>
      </c>
      <c r="D144" t="n">
        <v>4</v>
      </c>
      <c r="E144" s="18" t="n">
        <v>1</v>
      </c>
      <c r="F144" t="n">
        <v>4</v>
      </c>
      <c r="G144" s="18" t="n">
        <v>1</v>
      </c>
      <c r="H144" t="n">
        <v>4</v>
      </c>
      <c r="I144" s="18"/>
      <c r="J144"/>
      <c r="K144" s="18"/>
      <c r="L144"/>
      <c r="M144" s="18" t="n">
        <v>1</v>
      </c>
      <c r="N144" t="n">
        <v>2</v>
      </c>
      <c r="O144" s="18" t="n">
        <v>1</v>
      </c>
      <c r="P144" t="n">
        <v>2</v>
      </c>
      <c r="Q144" s="18" t="n">
        <v>1</v>
      </c>
      <c r="R144" t="n">
        <v>2</v>
      </c>
      <c r="S144" s="18"/>
      <c r="T144"/>
      <c r="U144" s="18"/>
      <c r="V144"/>
      <c r="W144" s="18" t="n">
        <v>1</v>
      </c>
      <c r="X144" t="n">
        <v>2</v>
      </c>
      <c r="Y144" s="18" t="n">
        <v>1</v>
      </c>
      <c r="Z144" t="n">
        <v>2</v>
      </c>
      <c r="AA144" s="18" t="n">
        <v>1</v>
      </c>
      <c r="AB144" t="n">
        <v>2</v>
      </c>
      <c r="AC144" s="18"/>
      <c r="AD144"/>
      <c r="AE144" s="18"/>
      <c r="AF144" s="12"/>
    </row>
    <row r="145" outlineLevel="1" hidden="0">
      <c r="A145" s="7" t="s">
        <v>15</v>
      </c>
      <c r="B145" t="s">
        <v>148</v>
      </c>
      <c r="C145" s="18" t="n">
        <v>0.290948048899342</v>
      </c>
      <c r="D145" t="n">
        <v>3</v>
      </c>
      <c r="E145" s="18"/>
      <c r="F145"/>
      <c r="G145" s="18"/>
      <c r="H145"/>
      <c r="I145" s="18"/>
      <c r="J145"/>
      <c r="K145" s="18"/>
      <c r="L145"/>
      <c r="M145" s="18" t="n">
        <v>0.450750979712009</v>
      </c>
      <c r="N145" t="n">
        <v>2</v>
      </c>
      <c r="O145" s="18"/>
      <c r="P145"/>
      <c r="Q145" s="18"/>
      <c r="R145"/>
      <c r="S145" s="18"/>
      <c r="T145"/>
      <c r="U145" s="18"/>
      <c r="V145"/>
      <c r="W145" s="18"/>
      <c r="X145"/>
      <c r="Y145" s="18"/>
      <c r="Z145"/>
      <c r="AA145" s="18"/>
      <c r="AB145"/>
      <c r="AC145" s="18"/>
      <c r="AD145"/>
      <c r="AE145" s="18"/>
      <c r="AF145" s="12"/>
    </row>
    <row r="146" outlineLevel="1" hidden="0">
      <c r="A146" s="7" t="s">
        <v>15</v>
      </c>
      <c r="B146" t="s">
        <v>149</v>
      </c>
      <c r="C146" s="18" t="n">
        <v>0.846596852137984</v>
      </c>
      <c r="D146" t="n">
        <v>14</v>
      </c>
      <c r="E146" s="18" t="n">
        <v>0.732373579767105</v>
      </c>
      <c r="F146" t="n">
        <v>9</v>
      </c>
      <c r="G146" s="18" t="n">
        <v>0.363994976676249</v>
      </c>
      <c r="H146" t="n">
        <v>9</v>
      </c>
      <c r="I146" s="18" t="n">
        <v>0.324878590477638</v>
      </c>
      <c r="J146" t="n">
        <v>9</v>
      </c>
      <c r="K146" s="18"/>
      <c r="L146"/>
      <c r="M146" s="18" t="n">
        <v>0.737170984673246</v>
      </c>
      <c r="N146" t="n">
        <v>8</v>
      </c>
      <c r="O146" s="18" t="n">
        <v>0.319842108985407</v>
      </c>
      <c r="P146" t="n">
        <v>4</v>
      </c>
      <c r="Q146" s="18" t="n">
        <v>0.880451572936964</v>
      </c>
      <c r="R146" t="n">
        <v>4</v>
      </c>
      <c r="S146" s="18" t="n">
        <v>0.275220382131645</v>
      </c>
      <c r="T146" t="n">
        <v>4</v>
      </c>
      <c r="U146" s="18"/>
      <c r="V146"/>
      <c r="W146" s="18" t="n">
        <v>0.936811228804533</v>
      </c>
      <c r="X146" t="n">
        <v>6</v>
      </c>
      <c r="Y146" s="18" t="n">
        <v>1</v>
      </c>
      <c r="Z146" t="n">
        <v>5</v>
      </c>
      <c r="AA146" s="18" t="n">
        <v>0.0289479806227967</v>
      </c>
      <c r="AB146" t="n">
        <v>5</v>
      </c>
      <c r="AC146" s="18" t="n">
        <v>0.357093947307591</v>
      </c>
      <c r="AD146" t="n">
        <v>5</v>
      </c>
      <c r="AE146" s="18"/>
      <c r="AF146" s="12"/>
    </row>
    <row r="147" outlineLevel="1" hidden="0">
      <c r="A147" s="7" t="s">
        <v>15</v>
      </c>
      <c r="B147" t="s">
        <v>150</v>
      </c>
      <c r="C147" s="18" t="n">
        <v>0.5547366872611</v>
      </c>
      <c r="D147" t="n">
        <v>17</v>
      </c>
      <c r="E147" s="18" t="n">
        <v>0.527866994156446</v>
      </c>
      <c r="F147" t="n">
        <v>13</v>
      </c>
      <c r="G147" s="18" t="n">
        <v>0.228527944558949</v>
      </c>
      <c r="H147" t="n">
        <v>13</v>
      </c>
      <c r="I147" s="18"/>
      <c r="J147"/>
      <c r="K147" s="18"/>
      <c r="L147"/>
      <c r="M147" s="18" t="n">
        <v>0.259802277902062</v>
      </c>
      <c r="N147" t="n">
        <v>5</v>
      </c>
      <c r="O147" s="18"/>
      <c r="P147"/>
      <c r="Q147" s="18"/>
      <c r="R147"/>
      <c r="S147" s="18"/>
      <c r="T147"/>
      <c r="U147" s="18"/>
      <c r="V147"/>
      <c r="W147" s="18" t="n">
        <v>0.711562560505081</v>
      </c>
      <c r="X147" t="n">
        <v>12</v>
      </c>
      <c r="Y147" s="18" t="n">
        <v>0.630348770351887</v>
      </c>
      <c r="Z147" t="n">
        <v>10</v>
      </c>
      <c r="AA147" s="18" t="n">
        <v>0.272895086145667</v>
      </c>
      <c r="AB147" t="n">
        <v>10</v>
      </c>
      <c r="AC147" s="18"/>
      <c r="AD147"/>
      <c r="AE147" s="18"/>
      <c r="AF147" s="12"/>
    </row>
    <row r="148" outlineLevel="1" hidden="0">
      <c r="A148" s="7" t="s">
        <v>15</v>
      </c>
      <c r="B148" t="s">
        <v>151</v>
      </c>
      <c r="C148" s="18" t="n">
        <v>0.909578112219459</v>
      </c>
      <c r="D148" t="n">
        <v>13</v>
      </c>
      <c r="E148" s="18"/>
      <c r="F148"/>
      <c r="G148" s="18"/>
      <c r="H148"/>
      <c r="I148" s="18"/>
      <c r="J148"/>
      <c r="K148" s="18"/>
      <c r="L148"/>
      <c r="M148" s="18" t="n">
        <v>0.857333429772909</v>
      </c>
      <c r="N148" t="n">
        <v>8</v>
      </c>
      <c r="O148" s="18"/>
      <c r="P148"/>
      <c r="Q148" s="18"/>
      <c r="R148"/>
      <c r="S148" s="18"/>
      <c r="T148"/>
      <c r="U148" s="18"/>
      <c r="V148"/>
      <c r="W148" s="18" t="n">
        <v>1</v>
      </c>
      <c r="X148" t="n">
        <v>5</v>
      </c>
      <c r="Y148" s="18"/>
      <c r="Z148"/>
      <c r="AA148" s="18"/>
      <c r="AB148"/>
      <c r="AC148" s="18"/>
      <c r="AD148"/>
      <c r="AE148" s="18"/>
      <c r="AF148" s="12"/>
    </row>
    <row r="149" outlineLevel="1" hidden="0">
      <c r="A149" s="8" t="s">
        <v>15</v>
      </c>
      <c r="B149" s="10" t="s">
        <v>152</v>
      </c>
      <c r="C149" s="17" t="n">
        <v>1</v>
      </c>
      <c r="D149" s="10" t="n">
        <v>2</v>
      </c>
      <c r="E149" s="17"/>
      <c r="F149" s="10"/>
      <c r="G149" s="17"/>
      <c r="H149" s="10"/>
      <c r="I149" s="17"/>
      <c r="J149" s="10"/>
      <c r="K149" s="17"/>
      <c r="L149" s="10"/>
      <c r="M149" s="17" t="n">
        <v>1</v>
      </c>
      <c r="N149" s="10" t="n">
        <v>2</v>
      </c>
      <c r="O149" s="17"/>
      <c r="P149" s="10"/>
      <c r="Q149" s="17"/>
      <c r="R149" s="10"/>
      <c r="S149" s="17"/>
      <c r="T149" s="10"/>
      <c r="U149" s="17"/>
      <c r="V149" s="10"/>
      <c r="W149" s="17"/>
      <c r="X149" s="10"/>
      <c r="Y149" s="17"/>
      <c r="Z149" s="10"/>
      <c r="AA149" s="17"/>
      <c r="AB149" s="10"/>
      <c r="AC149" s="17"/>
      <c r="AD149" s="10"/>
      <c r="AE149" s="17"/>
      <c r="AF149" s="13"/>
    </row>
    <row r="150">
      <c r="C150" s="18"/>
      <c r="E150" s="18"/>
      <c r="G150" s="18"/>
      <c r="I150" s="18"/>
      <c r="K150" s="18"/>
      <c r="M150" s="18"/>
      <c r="O150" s="18"/>
      <c r="Q150" s="18"/>
      <c r="S150" s="18"/>
      <c r="U150" s="18"/>
      <c r="W150" s="18"/>
      <c r="Y150" s="18"/>
      <c r="AA150" s="18"/>
      <c r="AC150" s="18"/>
      <c r="AE150" s="18"/>
    </row>
    <row r="151">
      <c r="C151" s="18"/>
      <c r="E151" s="18"/>
      <c r="G151" s="18"/>
      <c r="I151" s="18"/>
      <c r="K151" s="18"/>
      <c r="M151" s="18"/>
      <c r="O151" s="18"/>
      <c r="Q151" s="18"/>
      <c r="S151" s="18"/>
      <c r="U151" s="18"/>
      <c r="W151" s="18"/>
      <c r="Y151" s="18"/>
      <c r="AA151" s="18"/>
      <c r="AC151" s="18"/>
      <c r="AE151" s="18"/>
    </row>
  </sheetData>
  <mergeCells count="28">
    <mergeCell ref="A1:AF1"/>
    <mergeCell ref="C2:L2"/>
    <mergeCell ref="M2:V2"/>
    <mergeCell ref="W2:AF2"/>
    <mergeCell ref="E3:L3"/>
    <mergeCell ref="O3:V3"/>
    <mergeCell ref="Y3:AF3"/>
    <mergeCell ref="E4:F4"/>
    <mergeCell ref="G4:H4"/>
    <mergeCell ref="I4:J4"/>
    <mergeCell ref="K4:L4"/>
    <mergeCell ref="C4:D4"/>
    <mergeCell ref="O4:P4"/>
    <mergeCell ref="Q4:R4"/>
    <mergeCell ref="S4:T4"/>
    <mergeCell ref="U4:V4"/>
    <mergeCell ref="M4:N4"/>
    <mergeCell ref="Y4:Z4"/>
    <mergeCell ref="AA4:AB4"/>
    <mergeCell ref="AC4:AD4"/>
    <mergeCell ref="AE4:AF4"/>
    <mergeCell ref="W4:X4"/>
    <mergeCell ref="A6:AF6"/>
    <mergeCell ref="A9:AF9"/>
    <mergeCell ref="A15:AF15"/>
    <mergeCell ref="A20:AF20"/>
    <mergeCell ref="A32:AF32"/>
    <mergeCell ref="A54:AF54"/>
  </mergeCell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 outlineLevelRow="1"/>
  <sheetData>
    <row r="1">
      <c r="A1" s="1" t="s">
        <v>153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>
      <c r="C2" s="2" t="s">
        <v>2</v>
      </c>
      <c r="D2" s="2"/>
      <c r="E2" s="2"/>
      <c r="F2" s="2"/>
      <c r="G2" s="2"/>
      <c r="H2" s="2"/>
      <c r="I2" s="2" t="s">
        <v>3</v>
      </c>
      <c r="J2" s="2"/>
      <c r="K2" s="2"/>
      <c r="L2" s="2"/>
      <c r="M2" s="2"/>
      <c r="N2" s="2"/>
      <c r="O2" s="2" t="s">
        <v>4</v>
      </c>
      <c r="P2" s="2"/>
      <c r="Q2" s="2"/>
      <c r="R2" s="2"/>
      <c r="S2" s="2"/>
      <c r="T2" s="2"/>
    </row>
    <row r="3">
      <c r="E3" s="2" t="s">
        <v>154</v>
      </c>
      <c r="F3" s="2"/>
      <c r="G3" s="2"/>
      <c r="H3" s="2"/>
      <c r="K3" s="2" t="s">
        <v>154</v>
      </c>
      <c r="L3" s="2"/>
      <c r="M3" s="2"/>
      <c r="N3" s="2"/>
      <c r="Q3" s="2" t="s">
        <v>154</v>
      </c>
      <c r="R3" s="2"/>
      <c r="S3" s="2"/>
      <c r="T3" s="2"/>
    </row>
    <row r="4">
      <c r="C4" s="2" t="s">
        <v>10</v>
      </c>
      <c r="D4" s="2"/>
      <c r="E4" s="2" t="s">
        <v>155</v>
      </c>
      <c r="F4" s="2"/>
      <c r="G4" s="2" t="s">
        <v>156</v>
      </c>
      <c r="H4" s="2"/>
      <c r="I4" s="2" t="s">
        <v>10</v>
      </c>
      <c r="J4" s="2"/>
      <c r="K4" s="2" t="s">
        <v>155</v>
      </c>
      <c r="L4" s="2"/>
      <c r="M4" s="2" t="s">
        <v>156</v>
      </c>
      <c r="N4" s="2"/>
      <c r="O4" s="2" t="s">
        <v>10</v>
      </c>
      <c r="P4" s="2"/>
      <c r="Q4" s="2" t="s">
        <v>155</v>
      </c>
      <c r="R4" s="2"/>
      <c r="S4" s="2" t="s">
        <v>156</v>
      </c>
      <c r="T4" s="2"/>
    </row>
    <row r="5">
      <c r="A5" s="2" t="s">
        <v>11</v>
      </c>
      <c r="B5" s="2" t="s">
        <v>12</v>
      </c>
      <c r="C5" s="2" t="s">
        <v>13</v>
      </c>
      <c r="D5" s="2" t="s">
        <v>14</v>
      </c>
      <c r="E5" s="2" t="s">
        <v>13</v>
      </c>
      <c r="F5" s="2" t="s">
        <v>14</v>
      </c>
      <c r="G5" s="2" t="s">
        <v>13</v>
      </c>
      <c r="H5" s="2" t="s">
        <v>14</v>
      </c>
      <c r="I5" s="2" t="s">
        <v>13</v>
      </c>
      <c r="J5" s="2" t="s">
        <v>14</v>
      </c>
      <c r="K5" s="2" t="s">
        <v>13</v>
      </c>
      <c r="L5" s="2" t="s">
        <v>14</v>
      </c>
      <c r="M5" s="2" t="s">
        <v>13</v>
      </c>
      <c r="N5" s="2" t="s">
        <v>14</v>
      </c>
      <c r="O5" s="2" t="s">
        <v>13</v>
      </c>
      <c r="P5" s="2" t="s">
        <v>14</v>
      </c>
      <c r="Q5" s="2" t="s">
        <v>13</v>
      </c>
      <c r="R5" s="2" t="s">
        <v>14</v>
      </c>
      <c r="S5" s="2" t="s">
        <v>13</v>
      </c>
      <c r="T5" s="2" t="s">
        <v>14</v>
      </c>
    </row>
    <row r="6">
      <c r="A6" s="2" t="s">
        <v>2</v>
      </c>
      <c r="B6" s="2"/>
      <c r="C6" s="20"/>
      <c r="D6" s="2"/>
      <c r="E6" s="20"/>
      <c r="F6" s="2"/>
      <c r="G6" s="20"/>
      <c r="H6" s="2"/>
      <c r="I6" s="20"/>
      <c r="J6" s="2"/>
      <c r="K6" s="20"/>
      <c r="L6" s="2"/>
      <c r="M6" s="20"/>
      <c r="N6" s="2"/>
      <c r="O6" s="20"/>
      <c r="P6" s="2"/>
      <c r="Q6" s="20"/>
      <c r="R6" s="2"/>
      <c r="S6" s="20"/>
      <c r="T6" s="2"/>
    </row>
    <row r="7" outlineLevel="1" hidden="0">
      <c r="A7" s="3" t="s">
        <v>15</v>
      </c>
      <c r="B7" s="4" t="s">
        <v>2</v>
      </c>
      <c r="C7" s="21" t="n">
        <v>0.832066018643896</v>
      </c>
      <c r="D7" s="4" t="n">
        <v>4269</v>
      </c>
      <c r="E7" s="21" t="n">
        <v>0.123873712419184</v>
      </c>
      <c r="F7" s="4" t="n">
        <v>3555</v>
      </c>
      <c r="G7" s="21" t="n">
        <v>0.0380754469286706</v>
      </c>
      <c r="H7" s="4" t="n">
        <v>3555</v>
      </c>
      <c r="I7" s="21" t="n">
        <v>0.850328339952824</v>
      </c>
      <c r="J7" s="4" t="n">
        <v>2193</v>
      </c>
      <c r="K7" s="21" t="n">
        <v>0.0986902840220431</v>
      </c>
      <c r="L7" s="4" t="n">
        <v>1854</v>
      </c>
      <c r="M7" s="21" t="n">
        <v>0.0334877995583676</v>
      </c>
      <c r="N7" s="4" t="n">
        <v>1854</v>
      </c>
      <c r="O7" s="21" t="n">
        <v>0.813131685634679</v>
      </c>
      <c r="P7" s="4" t="n">
        <v>2076</v>
      </c>
      <c r="Q7" s="21" t="n">
        <v>0.15120993752386</v>
      </c>
      <c r="R7" s="4" t="n">
        <v>1701</v>
      </c>
      <c r="S7" s="21" t="n">
        <v>0.0430552677551995</v>
      </c>
      <c r="T7" s="5" t="n">
        <v>1701</v>
      </c>
    </row>
    <row r="8">
      <c r="C8" s="24"/>
      <c r="E8" s="24"/>
      <c r="G8" s="24"/>
      <c r="I8" s="24"/>
      <c r="K8" s="24"/>
      <c r="M8" s="24"/>
      <c r="O8" s="24"/>
      <c r="Q8" s="24"/>
      <c r="S8" s="24"/>
    </row>
    <row r="9">
      <c r="A9" s="2" t="s">
        <v>16</v>
      </c>
      <c r="B9" s="2"/>
      <c r="C9" s="20"/>
      <c r="D9" s="2"/>
      <c r="E9" s="20"/>
      <c r="F9" s="2"/>
      <c r="G9" s="20"/>
      <c r="H9" s="2"/>
      <c r="I9" s="20"/>
      <c r="J9" s="2"/>
      <c r="K9" s="20"/>
      <c r="L9" s="2"/>
      <c r="M9" s="20"/>
      <c r="N9" s="2"/>
      <c r="O9" s="20"/>
      <c r="P9" s="2"/>
      <c r="Q9" s="20"/>
      <c r="R9" s="2"/>
      <c r="S9" s="20"/>
      <c r="T9" s="2"/>
    </row>
    <row r="10" outlineLevel="1" hidden="0">
      <c r="A10" s="6" t="s">
        <v>15</v>
      </c>
      <c r="B10" s="9" t="s">
        <v>17</v>
      </c>
      <c r="C10" s="22" t="n">
        <v>0.810056420362269</v>
      </c>
      <c r="D10" s="9" t="n">
        <v>722</v>
      </c>
      <c r="E10" s="22"/>
      <c r="F10" s="9"/>
      <c r="G10" s="22"/>
      <c r="H10" s="9"/>
      <c r="I10" s="22" t="n">
        <v>0.810876541616098</v>
      </c>
      <c r="J10" s="9" t="n">
        <v>353</v>
      </c>
      <c r="K10" s="22"/>
      <c r="L10" s="9"/>
      <c r="M10" s="22"/>
      <c r="N10" s="9"/>
      <c r="O10" s="22" t="n">
        <v>0.809266706237109</v>
      </c>
      <c r="P10" s="9" t="n">
        <v>369</v>
      </c>
      <c r="Q10" s="22"/>
      <c r="R10" s="9"/>
      <c r="S10" s="22"/>
      <c r="T10" s="11"/>
    </row>
    <row r="11" outlineLevel="1" hidden="0">
      <c r="A11" s="7" t="s">
        <v>15</v>
      </c>
      <c r="B11" t="s">
        <v>18</v>
      </c>
      <c r="C11" s="24" t="n">
        <v>0.872073943756616</v>
      </c>
      <c r="D11" t="n">
        <v>1621</v>
      </c>
      <c r="E11" s="24" t="n">
        <v>0.0572640619474604</v>
      </c>
      <c r="F11" t="n">
        <v>1418</v>
      </c>
      <c r="G11" s="24"/>
      <c r="H11"/>
      <c r="I11" s="24" t="n">
        <v>0.894732654288568</v>
      </c>
      <c r="J11" t="n">
        <v>833</v>
      </c>
      <c r="K11" s="24" t="n">
        <v>0.0437357182537</v>
      </c>
      <c r="L11" t="n">
        <v>743</v>
      </c>
      <c r="M11" s="24"/>
      <c r="N11"/>
      <c r="O11" s="24" t="n">
        <v>0.849021546696204</v>
      </c>
      <c r="P11" t="n">
        <v>788</v>
      </c>
      <c r="Q11" s="24" t="n">
        <v>0.0717690150525356</v>
      </c>
      <c r="R11" t="n">
        <v>675</v>
      </c>
      <c r="S11" s="24"/>
      <c r="T11" s="12"/>
    </row>
    <row r="12" outlineLevel="1" hidden="0">
      <c r="A12" s="7" t="s">
        <v>15</v>
      </c>
      <c r="B12" t="s">
        <v>19</v>
      </c>
      <c r="C12" s="24" t="n">
        <v>0.8771519609848</v>
      </c>
      <c r="D12" t="n">
        <v>923</v>
      </c>
      <c r="E12" s="24" t="n">
        <v>0.29562310417725</v>
      </c>
      <c r="F12" t="n">
        <v>805</v>
      </c>
      <c r="G12" s="24"/>
      <c r="H12"/>
      <c r="I12" s="24" t="n">
        <v>0.898160947701875</v>
      </c>
      <c r="J12" t="n">
        <v>479</v>
      </c>
      <c r="K12" s="24" t="n">
        <v>0.223810502932628</v>
      </c>
      <c r="L12" t="n">
        <v>425</v>
      </c>
      <c r="M12" s="24"/>
      <c r="N12"/>
      <c r="O12" s="24" t="n">
        <v>0.855051911006386</v>
      </c>
      <c r="P12" t="n">
        <v>444</v>
      </c>
      <c r="Q12" s="24" t="n">
        <v>0.375310456317289</v>
      </c>
      <c r="R12" t="n">
        <v>380</v>
      </c>
      <c r="S12" s="24"/>
      <c r="T12" s="12"/>
    </row>
    <row r="13" outlineLevel="1" hidden="0">
      <c r="A13" s="8" t="s">
        <v>15</v>
      </c>
      <c r="B13" s="10" t="s">
        <v>20</v>
      </c>
      <c r="C13" s="23" t="n">
        <v>0.742372601091038</v>
      </c>
      <c r="D13" s="10" t="n">
        <v>1003</v>
      </c>
      <c r="E13" s="23" t="n">
        <v>0.160174069363021</v>
      </c>
      <c r="F13" s="10" t="n">
        <v>747</v>
      </c>
      <c r="G13" s="23" t="n">
        <v>0.17932119770546</v>
      </c>
      <c r="H13" s="10" t="n">
        <v>747</v>
      </c>
      <c r="I13" s="23" t="n">
        <v>0.765237665536481</v>
      </c>
      <c r="J13" s="10" t="n">
        <v>528</v>
      </c>
      <c r="K13" s="23" t="n">
        <v>0.135872423441619</v>
      </c>
      <c r="L13" s="10" t="n">
        <v>398</v>
      </c>
      <c r="M13" s="23" t="n">
        <v>0.15130378615084</v>
      </c>
      <c r="N13" s="10" t="n">
        <v>398</v>
      </c>
      <c r="O13" s="23" t="n">
        <v>0.71700012996649</v>
      </c>
      <c r="P13" s="10" t="n">
        <v>475</v>
      </c>
      <c r="Q13" s="23" t="n">
        <v>0.188996633186425</v>
      </c>
      <c r="R13" s="10" t="n">
        <v>349</v>
      </c>
      <c r="S13" s="23" t="n">
        <v>0.212550783689529</v>
      </c>
      <c r="T13" s="13" t="n">
        <v>349</v>
      </c>
    </row>
    <row r="14">
      <c r="C14" s="24"/>
      <c r="E14" s="24"/>
      <c r="G14" s="24"/>
      <c r="I14" s="24"/>
      <c r="K14" s="24"/>
      <c r="M14" s="24"/>
      <c r="O14" s="24"/>
      <c r="Q14" s="24"/>
      <c r="S14" s="24"/>
    </row>
    <row r="15">
      <c r="A15" s="2" t="s">
        <v>21</v>
      </c>
      <c r="B15" s="2"/>
      <c r="C15" s="20"/>
      <c r="D15" s="2"/>
      <c r="E15" s="20"/>
      <c r="F15" s="2"/>
      <c r="G15" s="20"/>
      <c r="H15" s="2"/>
      <c r="I15" s="20"/>
      <c r="J15" s="2"/>
      <c r="K15" s="20"/>
      <c r="L15" s="2"/>
      <c r="M15" s="20"/>
      <c r="N15" s="2"/>
      <c r="O15" s="20"/>
      <c r="P15" s="2"/>
      <c r="Q15" s="20"/>
      <c r="R15" s="2"/>
      <c r="S15" s="20"/>
      <c r="T15" s="2"/>
    </row>
    <row r="16" outlineLevel="1" hidden="0">
      <c r="A16" s="6" t="s">
        <v>15</v>
      </c>
      <c r="B16" s="9" t="s">
        <v>22</v>
      </c>
      <c r="C16" s="22" t="n">
        <v>1</v>
      </c>
      <c r="D16" s="9" t="n">
        <v>3</v>
      </c>
      <c r="E16" s="22"/>
      <c r="F16" s="9"/>
      <c r="G16" s="22"/>
      <c r="H16" s="9"/>
      <c r="I16" s="22" t="n">
        <v>1</v>
      </c>
      <c r="J16" s="9" t="n">
        <v>2</v>
      </c>
      <c r="K16" s="22"/>
      <c r="L16" s="9"/>
      <c r="M16" s="22"/>
      <c r="N16" s="9"/>
      <c r="O16" s="22" t="n">
        <v>1</v>
      </c>
      <c r="P16" s="9" t="n">
        <v>1</v>
      </c>
      <c r="Q16" s="22"/>
      <c r="R16" s="9"/>
      <c r="S16" s="22"/>
      <c r="T16" s="11"/>
    </row>
    <row r="17" outlineLevel="1" hidden="0">
      <c r="A17" s="7" t="s">
        <v>15</v>
      </c>
      <c r="B17" t="s">
        <v>23</v>
      </c>
      <c r="C17" s="24" t="n">
        <v>0.819769646951468</v>
      </c>
      <c r="D17" t="n">
        <v>2157</v>
      </c>
      <c r="E17" s="24" t="n">
        <v>0.181093784168527</v>
      </c>
      <c r="F17" t="n">
        <v>1752</v>
      </c>
      <c r="G17" s="24" t="n">
        <v>0.0536256043386321</v>
      </c>
      <c r="H17" t="n">
        <v>1752</v>
      </c>
      <c r="I17" s="24" t="n">
        <v>0.836891852998765</v>
      </c>
      <c r="J17" t="n">
        <v>1065</v>
      </c>
      <c r="K17" s="24" t="n">
        <v>0.139607680711801</v>
      </c>
      <c r="L17" t="n">
        <v>876</v>
      </c>
      <c r="M17" s="24" t="n">
        <v>0.0544008883114708</v>
      </c>
      <c r="N17" t="n">
        <v>876</v>
      </c>
      <c r="O17" s="24" t="n">
        <v>0.803329053930179</v>
      </c>
      <c r="P17" t="n">
        <v>1092</v>
      </c>
      <c r="Q17" s="24" t="n">
        <v>0.222652897456735</v>
      </c>
      <c r="R17" t="n">
        <v>876</v>
      </c>
      <c r="S17" s="24" t="n">
        <v>0.0528489559727198</v>
      </c>
      <c r="T17" s="12" t="n">
        <v>876</v>
      </c>
    </row>
    <row r="18" outlineLevel="1" hidden="0">
      <c r="A18" s="8" t="s">
        <v>15</v>
      </c>
      <c r="B18" s="10" t="s">
        <v>24</v>
      </c>
      <c r="C18" s="23" t="n">
        <v>0.846567406100123</v>
      </c>
      <c r="D18" s="10" t="n">
        <v>2109</v>
      </c>
      <c r="E18" s="23" t="n">
        <v>0.0584037076075731</v>
      </c>
      <c r="F18" s="10" t="n">
        <v>1800</v>
      </c>
      <c r="G18" s="23" t="n">
        <v>0.0202844258167179</v>
      </c>
      <c r="H18" s="10" t="n">
        <v>1800</v>
      </c>
      <c r="I18" s="23" t="n">
        <v>0.86492329005063</v>
      </c>
      <c r="J18" s="10" t="n">
        <v>1126</v>
      </c>
      <c r="K18" s="23" t="n">
        <v>0.0555862048121573</v>
      </c>
      <c r="L18" s="10" t="n">
        <v>976</v>
      </c>
      <c r="M18" s="23" t="n">
        <v>0.0114516996496031</v>
      </c>
      <c r="N18" s="10" t="n">
        <v>976</v>
      </c>
      <c r="O18" s="23" t="n">
        <v>0.82572775185613</v>
      </c>
      <c r="P18" s="10" t="n">
        <v>983</v>
      </c>
      <c r="Q18" s="23" t="n">
        <v>0.0617570320756701</v>
      </c>
      <c r="R18" s="10" t="n">
        <v>824</v>
      </c>
      <c r="S18" s="23" t="n">
        <v>0.0307969253338003</v>
      </c>
      <c r="T18" s="13" t="n">
        <v>824</v>
      </c>
    </row>
    <row r="19">
      <c r="C19" s="24"/>
      <c r="E19" s="24"/>
      <c r="G19" s="24"/>
      <c r="I19" s="24"/>
      <c r="K19" s="24"/>
      <c r="M19" s="24"/>
      <c r="O19" s="24"/>
      <c r="Q19" s="24"/>
      <c r="S19" s="24"/>
    </row>
    <row r="20">
      <c r="A20" s="2" t="s">
        <v>25</v>
      </c>
      <c r="B20" s="2"/>
      <c r="C20" s="20"/>
      <c r="D20" s="2"/>
      <c r="E20" s="20"/>
      <c r="F20" s="2"/>
      <c r="G20" s="20"/>
      <c r="H20" s="2"/>
      <c r="I20" s="20"/>
      <c r="J20" s="2"/>
      <c r="K20" s="20"/>
      <c r="L20" s="2"/>
      <c r="M20" s="20"/>
      <c r="N20" s="2"/>
      <c r="O20" s="20"/>
      <c r="P20" s="2"/>
      <c r="Q20" s="20"/>
      <c r="R20" s="2"/>
      <c r="S20" s="20"/>
      <c r="T20" s="2"/>
    </row>
    <row r="21" outlineLevel="1" hidden="0">
      <c r="A21" s="6" t="s">
        <v>15</v>
      </c>
      <c r="B21" s="9" t="s">
        <v>26</v>
      </c>
      <c r="C21" s="22" t="n">
        <v>0.855958418472638</v>
      </c>
      <c r="D21" s="9" t="n">
        <v>902</v>
      </c>
      <c r="E21" s="22" t="n">
        <v>0.0776456988556643</v>
      </c>
      <c r="F21" s="9" t="n">
        <v>762</v>
      </c>
      <c r="G21" s="22" t="n">
        <v>0.0239481062757452</v>
      </c>
      <c r="H21" s="9" t="n">
        <v>762</v>
      </c>
      <c r="I21" s="22" t="n">
        <v>0.876097245035602</v>
      </c>
      <c r="J21" s="9" t="n">
        <v>486</v>
      </c>
      <c r="K21" s="22" t="n">
        <v>0.0647267099883233</v>
      </c>
      <c r="L21" s="9" t="n">
        <v>421</v>
      </c>
      <c r="M21" s="22" t="n">
        <v>0.0104789432672992</v>
      </c>
      <c r="N21" s="9" t="n">
        <v>421</v>
      </c>
      <c r="O21" s="22" t="n">
        <v>0.832878643955658</v>
      </c>
      <c r="P21" s="9" t="n">
        <v>416</v>
      </c>
      <c r="Q21" s="22" t="n">
        <v>0.0932195676691508</v>
      </c>
      <c r="R21" s="9" t="n">
        <v>341</v>
      </c>
      <c r="S21" s="22" t="n">
        <v>0.040185211197423</v>
      </c>
      <c r="T21" s="11" t="n">
        <v>341</v>
      </c>
    </row>
    <row r="22" outlineLevel="1" hidden="0">
      <c r="A22" s="7" t="s">
        <v>15</v>
      </c>
      <c r="B22" t="s">
        <v>27</v>
      </c>
      <c r="C22" s="24" t="n">
        <v>0.782586627536337</v>
      </c>
      <c r="D22" t="n">
        <v>451</v>
      </c>
      <c r="E22" s="24" t="n">
        <v>0.184483260855132</v>
      </c>
      <c r="F22" t="n">
        <v>372</v>
      </c>
      <c r="G22" s="24" t="n">
        <v>0.0742366663493876</v>
      </c>
      <c r="H22" t="n">
        <v>372</v>
      </c>
      <c r="I22" s="24" t="n">
        <v>0.761181068179802</v>
      </c>
      <c r="J22" t="n">
        <v>215</v>
      </c>
      <c r="K22" s="24" t="n">
        <v>0.186711593774809</v>
      </c>
      <c r="L22" t="n">
        <v>174</v>
      </c>
      <c r="M22" s="24" t="n">
        <v>0.0431211431107227</v>
      </c>
      <c r="N22" t="n">
        <v>174</v>
      </c>
      <c r="O22" s="24" t="n">
        <v>0.800475233227375</v>
      </c>
      <c r="P22" t="n">
        <v>236</v>
      </c>
      <c r="Q22" s="24" t="n">
        <v>0.182712458604585</v>
      </c>
      <c r="R22" t="n">
        <v>198</v>
      </c>
      <c r="S22" s="24" t="n">
        <v>0.0989634197404213</v>
      </c>
      <c r="T22" s="12" t="n">
        <v>198</v>
      </c>
    </row>
    <row r="23" outlineLevel="1" hidden="0">
      <c r="A23" s="7" t="s">
        <v>15</v>
      </c>
      <c r="B23" t="s">
        <v>28</v>
      </c>
      <c r="C23" s="24" t="n">
        <v>0.850164982951857</v>
      </c>
      <c r="D23" t="n">
        <v>378</v>
      </c>
      <c r="E23" s="24" t="n">
        <v>0.146990130999762</v>
      </c>
      <c r="F23" t="n">
        <v>321</v>
      </c>
      <c r="G23" s="24" t="n">
        <v>0.032285187888198</v>
      </c>
      <c r="H23" t="n">
        <v>321</v>
      </c>
      <c r="I23" s="24" t="n">
        <v>0.85262495918213</v>
      </c>
      <c r="J23" t="n">
        <v>191</v>
      </c>
      <c r="K23" s="24" t="n">
        <v>0.116414098274196</v>
      </c>
      <c r="L23" t="n">
        <v>162</v>
      </c>
      <c r="M23" s="24" t="n">
        <v>0.0305380217331347</v>
      </c>
      <c r="N23" t="n">
        <v>162</v>
      </c>
      <c r="O23" s="24" t="n">
        <v>0.847695267936089</v>
      </c>
      <c r="P23" t="n">
        <v>187</v>
      </c>
      <c r="Q23" s="24" t="n">
        <v>0.177647132619914</v>
      </c>
      <c r="R23" t="n">
        <v>159</v>
      </c>
      <c r="S23" s="24" t="n">
        <v>0.0340369807426602</v>
      </c>
      <c r="T23" s="12" t="n">
        <v>159</v>
      </c>
    </row>
    <row r="24" outlineLevel="1" hidden="0">
      <c r="A24" s="7" t="s">
        <v>15</v>
      </c>
      <c r="B24" t="s">
        <v>29</v>
      </c>
      <c r="C24" s="24" t="n">
        <v>0.82154325046042</v>
      </c>
      <c r="D24" t="n">
        <v>358</v>
      </c>
      <c r="E24" s="24" t="n">
        <v>0.178376862756132</v>
      </c>
      <c r="F24" t="n">
        <v>291</v>
      </c>
      <c r="G24" s="24" t="n">
        <v>0.0617158212777086</v>
      </c>
      <c r="H24" t="n">
        <v>291</v>
      </c>
      <c r="I24" s="24" t="n">
        <v>0.847478826475154</v>
      </c>
      <c r="J24" t="n">
        <v>197</v>
      </c>
      <c r="K24" s="24" t="n">
        <v>0.190443863473322</v>
      </c>
      <c r="L24" t="n">
        <v>165</v>
      </c>
      <c r="M24" s="24" t="n">
        <v>0.0834882502405346</v>
      </c>
      <c r="N24" t="n">
        <v>165</v>
      </c>
      <c r="O24" s="24" t="n">
        <v>0.788880199792517</v>
      </c>
      <c r="P24" t="n">
        <v>161</v>
      </c>
      <c r="Q24" s="24" t="n">
        <v>0.161915141173513</v>
      </c>
      <c r="R24" t="n">
        <v>126</v>
      </c>
      <c r="S24" s="24" t="n">
        <v>0.0320140194660284</v>
      </c>
      <c r="T24" s="12" t="n">
        <v>126</v>
      </c>
    </row>
    <row r="25" outlineLevel="1" hidden="0">
      <c r="A25" s="7" t="s">
        <v>15</v>
      </c>
      <c r="B25" t="s">
        <v>30</v>
      </c>
      <c r="C25" s="24" t="n">
        <v>0.846597852363699</v>
      </c>
      <c r="D25" t="n">
        <v>300</v>
      </c>
      <c r="E25" s="24" t="n">
        <v>0.116737933304699</v>
      </c>
      <c r="F25" t="n">
        <v>255</v>
      </c>
      <c r="G25" s="24" t="n">
        <v>0.0373216070229817</v>
      </c>
      <c r="H25" t="n">
        <v>255</v>
      </c>
      <c r="I25" s="24" t="n">
        <v>0.875305022263274</v>
      </c>
      <c r="J25" t="n">
        <v>157</v>
      </c>
      <c r="K25" s="24" t="n">
        <v>0.0782424775118038</v>
      </c>
      <c r="L25" t="n">
        <v>138</v>
      </c>
      <c r="M25" s="24" t="n">
        <v>0.0533164758834103</v>
      </c>
      <c r="N25" t="n">
        <v>138</v>
      </c>
      <c r="O25" s="24" t="n">
        <v>0.815453700014411</v>
      </c>
      <c r="P25" t="n">
        <v>143</v>
      </c>
      <c r="Q25" s="24" t="n">
        <v>0.161566588874273</v>
      </c>
      <c r="R25" t="n">
        <v>117</v>
      </c>
      <c r="S25" s="24" t="n">
        <v>0.0186952925072567</v>
      </c>
      <c r="T25" s="12" t="n">
        <v>117</v>
      </c>
    </row>
    <row r="26" outlineLevel="1" hidden="0">
      <c r="A26" s="7" t="s">
        <v>15</v>
      </c>
      <c r="B26" t="s">
        <v>31</v>
      </c>
      <c r="C26" s="24" t="n">
        <v>0.68906910249362</v>
      </c>
      <c r="D26" t="n">
        <v>410</v>
      </c>
      <c r="E26" s="24" t="n">
        <v>0.203668795990178</v>
      </c>
      <c r="F26" t="n">
        <v>287</v>
      </c>
      <c r="G26" s="24" t="n">
        <v>0.041615052643773</v>
      </c>
      <c r="H26" t="n">
        <v>287</v>
      </c>
      <c r="I26" s="24" t="n">
        <v>0.731303380428735</v>
      </c>
      <c r="J26" t="n">
        <v>214</v>
      </c>
      <c r="K26" s="24" t="n">
        <v>0.163628946972075</v>
      </c>
      <c r="L26" t="n">
        <v>155</v>
      </c>
      <c r="M26" s="24" t="n">
        <v>0.0651569054316725</v>
      </c>
      <c r="N26" t="n">
        <v>155</v>
      </c>
      <c r="O26" s="24" t="n">
        <v>0.649108883093699</v>
      </c>
      <c r="P26" t="n">
        <v>196</v>
      </c>
      <c r="Q26" s="24" t="n">
        <v>0.246349861227094</v>
      </c>
      <c r="R26" t="n">
        <v>132</v>
      </c>
      <c r="S26" s="24" t="n">
        <v>0.0165202688401698</v>
      </c>
      <c r="T26" s="12" t="n">
        <v>132</v>
      </c>
    </row>
    <row r="27" outlineLevel="1" hidden="0">
      <c r="A27" s="7" t="s">
        <v>15</v>
      </c>
      <c r="B27" t="s">
        <v>32</v>
      </c>
      <c r="C27" s="24" t="n">
        <v>0.855379205704077</v>
      </c>
      <c r="D27" t="n">
        <v>324</v>
      </c>
      <c r="E27" s="24" t="n">
        <v>0.172375108997393</v>
      </c>
      <c r="F27" t="n">
        <v>273</v>
      </c>
      <c r="G27" s="24" t="n">
        <v>0.0430689917016642</v>
      </c>
      <c r="H27" t="n">
        <v>273</v>
      </c>
      <c r="I27" s="24" t="n">
        <v>0.887829711386609</v>
      </c>
      <c r="J27" t="n">
        <v>159</v>
      </c>
      <c r="K27" s="24" t="n">
        <v>0.132934633474504</v>
      </c>
      <c r="L27" t="n">
        <v>138</v>
      </c>
      <c r="M27" s="24" t="n">
        <v>0.0632730628531634</v>
      </c>
      <c r="N27" t="n">
        <v>138</v>
      </c>
      <c r="O27" s="24" t="n">
        <v>0.826807672131026</v>
      </c>
      <c r="P27" t="n">
        <v>165</v>
      </c>
      <c r="Q27" s="24" t="n">
        <v>0.209663994396969</v>
      </c>
      <c r="R27" t="n">
        <v>135</v>
      </c>
      <c r="S27" s="24" t="n">
        <v>0.0239671100994528</v>
      </c>
      <c r="T27" s="12" t="n">
        <v>135</v>
      </c>
    </row>
    <row r="28" outlineLevel="1" hidden="0">
      <c r="A28" s="7" t="s">
        <v>15</v>
      </c>
      <c r="B28" t="s">
        <v>33</v>
      </c>
      <c r="C28" s="24" t="n">
        <v>0.903904049932929</v>
      </c>
      <c r="D28" t="n">
        <v>333</v>
      </c>
      <c r="E28" s="24" t="n">
        <v>0.231102675874367</v>
      </c>
      <c r="F28" t="n">
        <v>305</v>
      </c>
      <c r="G28" s="24" t="n">
        <v>0.0856629265645918</v>
      </c>
      <c r="H28" t="n">
        <v>305</v>
      </c>
      <c r="I28" s="24" t="n">
        <v>0.92327076477813</v>
      </c>
      <c r="J28" t="n">
        <v>162</v>
      </c>
      <c r="K28" s="24" t="n">
        <v>0.172231162383885</v>
      </c>
      <c r="L28" t="n">
        <v>151</v>
      </c>
      <c r="M28" s="24" t="n">
        <v>0.0790782107892236</v>
      </c>
      <c r="N28" t="n">
        <v>151</v>
      </c>
      <c r="O28" s="24" t="n">
        <v>0.888048798280566</v>
      </c>
      <c r="P28" t="n">
        <v>171</v>
      </c>
      <c r="Q28" s="24" t="n">
        <v>0.281211548902694</v>
      </c>
      <c r="R28" t="n">
        <v>154</v>
      </c>
      <c r="S28" s="24" t="n">
        <v>0.0912675503826783</v>
      </c>
      <c r="T28" s="12" t="n">
        <v>154</v>
      </c>
    </row>
    <row r="29" outlineLevel="1" hidden="0">
      <c r="A29" s="7" t="s">
        <v>15</v>
      </c>
      <c r="B29" t="s">
        <v>34</v>
      </c>
      <c r="C29" s="24" t="n">
        <v>0.763212311173447</v>
      </c>
      <c r="D29" t="n">
        <v>399</v>
      </c>
      <c r="E29" s="24" t="n">
        <v>0.104092241354444</v>
      </c>
      <c r="F29" t="n">
        <v>310</v>
      </c>
      <c r="G29" s="24" t="n">
        <v>0.0510230603386109</v>
      </c>
      <c r="H29" t="n">
        <v>310</v>
      </c>
      <c r="I29" s="24" t="n">
        <v>0.771226758120523</v>
      </c>
      <c r="J29" t="n">
        <v>205</v>
      </c>
      <c r="K29" s="24" t="n">
        <v>0.0772258527496077</v>
      </c>
      <c r="L29" t="n">
        <v>163</v>
      </c>
      <c r="M29" s="24" t="n">
        <v>0.0231783654926932</v>
      </c>
      <c r="N29" t="n">
        <v>163</v>
      </c>
      <c r="O29" s="24" t="n">
        <v>0.755355841457084</v>
      </c>
      <c r="P29" t="n">
        <v>194</v>
      </c>
      <c r="Q29" s="24" t="n">
        <v>0.131632408066547</v>
      </c>
      <c r="R29" t="n">
        <v>147</v>
      </c>
      <c r="S29" s="24" t="n">
        <v>0.0795660680864478</v>
      </c>
      <c r="T29" s="12" t="n">
        <v>147</v>
      </c>
    </row>
    <row r="30" outlineLevel="1" hidden="0">
      <c r="A30" s="8" t="s">
        <v>15</v>
      </c>
      <c r="B30" s="10" t="s">
        <v>35</v>
      </c>
      <c r="C30" s="23" t="n">
        <v>0.912585529364608</v>
      </c>
      <c r="D30" s="10" t="n">
        <v>414</v>
      </c>
      <c r="E30" s="23" t="n">
        <v>0.0896973977514965</v>
      </c>
      <c r="F30" s="10" t="n">
        <v>379</v>
      </c>
      <c r="G30" s="23" t="n">
        <v>0.0216954916050589</v>
      </c>
      <c r="H30" s="10" t="n">
        <v>379</v>
      </c>
      <c r="I30" s="23" t="n">
        <v>0.900707730269287</v>
      </c>
      <c r="J30" s="10" t="n">
        <v>207</v>
      </c>
      <c r="K30" s="23" t="n">
        <v>0.0623417004610861</v>
      </c>
      <c r="L30" s="10" t="n">
        <v>187</v>
      </c>
      <c r="M30" s="23" t="n">
        <v>0.0144453443430121</v>
      </c>
      <c r="N30" s="10" t="n">
        <v>187</v>
      </c>
      <c r="O30" s="23" t="n">
        <v>0.924812165632495</v>
      </c>
      <c r="P30" s="10" t="n">
        <v>207</v>
      </c>
      <c r="Q30" s="23" t="n">
        <v>0.117122557283644</v>
      </c>
      <c r="R30" s="10" t="n">
        <v>192</v>
      </c>
      <c r="S30" s="23" t="n">
        <v>0.0289640486146767</v>
      </c>
      <c r="T30" s="13" t="n">
        <v>192</v>
      </c>
    </row>
    <row r="31">
      <c r="C31" s="24"/>
      <c r="E31" s="24"/>
      <c r="G31" s="24"/>
      <c r="I31" s="24"/>
      <c r="K31" s="24"/>
      <c r="M31" s="24"/>
      <c r="O31" s="24"/>
      <c r="Q31" s="24"/>
      <c r="S31" s="24"/>
    </row>
    <row r="32">
      <c r="A32" s="2" t="s">
        <v>36</v>
      </c>
      <c r="B32" s="2"/>
      <c r="C32" s="20"/>
      <c r="D32" s="2"/>
      <c r="E32" s="20"/>
      <c r="F32" s="2"/>
      <c r="G32" s="20"/>
      <c r="H32" s="2"/>
      <c r="I32" s="20"/>
      <c r="J32" s="2"/>
      <c r="K32" s="20"/>
      <c r="L32" s="2"/>
      <c r="M32" s="20"/>
      <c r="N32" s="2"/>
      <c r="O32" s="20"/>
      <c r="P32" s="2"/>
      <c r="Q32" s="20"/>
      <c r="R32" s="2"/>
      <c r="S32" s="20"/>
      <c r="T32" s="2"/>
    </row>
    <row r="33" outlineLevel="1" hidden="0">
      <c r="A33" s="6" t="s">
        <v>15</v>
      </c>
      <c r="B33" s="9" t="s">
        <v>37</v>
      </c>
      <c r="C33" s="22" t="n">
        <v>0.815789473684211</v>
      </c>
      <c r="D33" s="9" t="n">
        <v>152</v>
      </c>
      <c r="E33" s="22" t="n">
        <v>0.145161290322581</v>
      </c>
      <c r="F33" s="9" t="n">
        <v>124</v>
      </c>
      <c r="G33" s="22" t="n">
        <v>0.0564516129032258</v>
      </c>
      <c r="H33" s="9" t="n">
        <v>124</v>
      </c>
      <c r="I33" s="22" t="n">
        <v>0.84</v>
      </c>
      <c r="J33" s="9" t="n">
        <v>75</v>
      </c>
      <c r="K33" s="22" t="n">
        <v>0.0634920634920635</v>
      </c>
      <c r="L33" s="9" t="n">
        <v>63</v>
      </c>
      <c r="M33" s="22" t="n">
        <v>0.0793650793650794</v>
      </c>
      <c r="N33" s="9" t="n">
        <v>63</v>
      </c>
      <c r="O33" s="22" t="n">
        <v>0.792207792207792</v>
      </c>
      <c r="P33" s="9" t="n">
        <v>77</v>
      </c>
      <c r="Q33" s="22" t="n">
        <v>0.229508196721311</v>
      </c>
      <c r="R33" s="9" t="n">
        <v>61</v>
      </c>
      <c r="S33" s="22" t="n">
        <v>0.0327868852459016</v>
      </c>
      <c r="T33" s="11" t="n">
        <v>61</v>
      </c>
    </row>
    <row r="34" outlineLevel="1" hidden="0">
      <c r="A34" s="7" t="s">
        <v>15</v>
      </c>
      <c r="B34" t="s">
        <v>38</v>
      </c>
      <c r="C34" s="24" t="n">
        <v>0.885135135135135</v>
      </c>
      <c r="D34" t="n">
        <v>148</v>
      </c>
      <c r="E34" s="24" t="n">
        <v>0.083969465648855</v>
      </c>
      <c r="F34" t="n">
        <v>131</v>
      </c>
      <c r="G34" s="24" t="n">
        <v>0.0152671755725191</v>
      </c>
      <c r="H34" t="n">
        <v>131</v>
      </c>
      <c r="I34" s="24" t="n">
        <v>0.914634146341463</v>
      </c>
      <c r="J34" t="n">
        <v>82</v>
      </c>
      <c r="K34" s="24" t="n">
        <v>0.0933333333333333</v>
      </c>
      <c r="L34" t="n">
        <v>75</v>
      </c>
      <c r="M34" s="24" t="n">
        <v>0.0266666666666667</v>
      </c>
      <c r="N34" t="n">
        <v>75</v>
      </c>
      <c r="O34" s="24" t="n">
        <v>0.848484848484848</v>
      </c>
      <c r="P34" t="n">
        <v>66</v>
      </c>
      <c r="Q34" s="24" t="n">
        <v>0.0714285714285714</v>
      </c>
      <c r="R34" t="n">
        <v>56</v>
      </c>
      <c r="S34" s="24"/>
      <c r="T34" s="12"/>
    </row>
    <row r="35" outlineLevel="1" hidden="0">
      <c r="A35" s="7" t="s">
        <v>15</v>
      </c>
      <c r="B35" t="s">
        <v>39</v>
      </c>
      <c r="C35" s="24" t="n">
        <v>0.68348623853211</v>
      </c>
      <c r="D35" t="n">
        <v>218</v>
      </c>
      <c r="E35" s="24" t="n">
        <v>0.228187919463087</v>
      </c>
      <c r="F35" t="n">
        <v>149</v>
      </c>
      <c r="G35" s="24" t="n">
        <v>0.0469798657718121</v>
      </c>
      <c r="H35" t="n">
        <v>149</v>
      </c>
      <c r="I35" s="24" t="n">
        <v>0.735294117647059</v>
      </c>
      <c r="J35" t="n">
        <v>102</v>
      </c>
      <c r="K35" s="24" t="n">
        <v>0.186666666666667</v>
      </c>
      <c r="L35" t="n">
        <v>75</v>
      </c>
      <c r="M35" s="24" t="n">
        <v>0.08</v>
      </c>
      <c r="N35" t="n">
        <v>75</v>
      </c>
      <c r="O35" s="24" t="n">
        <v>0.637931034482759</v>
      </c>
      <c r="P35" t="n">
        <v>116</v>
      </c>
      <c r="Q35" s="24" t="n">
        <v>0.27027027027027</v>
      </c>
      <c r="R35" t="n">
        <v>74</v>
      </c>
      <c r="S35" s="24" t="n">
        <v>0.0135135135135135</v>
      </c>
      <c r="T35" s="12" t="n">
        <v>74</v>
      </c>
    </row>
    <row r="36" outlineLevel="1" hidden="0">
      <c r="A36" s="7" t="s">
        <v>15</v>
      </c>
      <c r="B36" t="s">
        <v>40</v>
      </c>
      <c r="C36" s="24" t="n">
        <v>0.71875</v>
      </c>
      <c r="D36" t="n">
        <v>192</v>
      </c>
      <c r="E36" s="24" t="n">
        <v>0.0797101449275362</v>
      </c>
      <c r="F36" t="n">
        <v>138</v>
      </c>
      <c r="G36" s="24" t="n">
        <v>0.0144927536231884</v>
      </c>
      <c r="H36" t="n">
        <v>138</v>
      </c>
      <c r="I36" s="24" t="n">
        <v>0.714285714285714</v>
      </c>
      <c r="J36" t="n">
        <v>112</v>
      </c>
      <c r="K36" s="24" t="n">
        <v>0.0625</v>
      </c>
      <c r="L36" t="n">
        <v>80</v>
      </c>
      <c r="M36" s="24"/>
      <c r="N36"/>
      <c r="O36" s="24" t="n">
        <v>0.725</v>
      </c>
      <c r="P36" t="n">
        <v>80</v>
      </c>
      <c r="Q36" s="24" t="n">
        <v>0.103448275862069</v>
      </c>
      <c r="R36" t="n">
        <v>58</v>
      </c>
      <c r="S36" s="24" t="n">
        <v>0.0344827586206897</v>
      </c>
      <c r="T36" s="12" t="n">
        <v>58</v>
      </c>
    </row>
    <row r="37" outlineLevel="1" hidden="0">
      <c r="A37" s="7" t="s">
        <v>15</v>
      </c>
      <c r="B37" t="s">
        <v>41</v>
      </c>
      <c r="C37" s="24" t="n">
        <v>0.901162790697674</v>
      </c>
      <c r="D37" t="n">
        <v>172</v>
      </c>
      <c r="E37" s="24" t="n">
        <v>0.245161290322581</v>
      </c>
      <c r="F37" t="n">
        <v>155</v>
      </c>
      <c r="G37" s="24" t="n">
        <v>0.0903225806451613</v>
      </c>
      <c r="H37" t="n">
        <v>155</v>
      </c>
      <c r="I37" s="24" t="n">
        <v>0.921052631578947</v>
      </c>
      <c r="J37" t="n">
        <v>76</v>
      </c>
      <c r="K37" s="24" t="n">
        <v>0.185714285714286</v>
      </c>
      <c r="L37" t="n">
        <v>70</v>
      </c>
      <c r="M37" s="24" t="n">
        <v>0.0857142857142857</v>
      </c>
      <c r="N37" t="n">
        <v>70</v>
      </c>
      <c r="O37" s="24" t="n">
        <v>0.885416666666667</v>
      </c>
      <c r="P37" t="n">
        <v>96</v>
      </c>
      <c r="Q37" s="24" t="n">
        <v>0.294117647058824</v>
      </c>
      <c r="R37" t="n">
        <v>85</v>
      </c>
      <c r="S37" s="24" t="n">
        <v>0.0941176470588235</v>
      </c>
      <c r="T37" s="12" t="n">
        <v>85</v>
      </c>
    </row>
    <row r="38" outlineLevel="1" hidden="0">
      <c r="A38" s="7" t="s">
        <v>15</v>
      </c>
      <c r="B38" t="s">
        <v>42</v>
      </c>
      <c r="C38" s="24" t="n">
        <v>0.93167701863354</v>
      </c>
      <c r="D38" t="n">
        <v>161</v>
      </c>
      <c r="E38" s="24" t="n">
        <v>0.0933333333333333</v>
      </c>
      <c r="F38" t="n">
        <v>150</v>
      </c>
      <c r="G38" s="24" t="n">
        <v>0.04</v>
      </c>
      <c r="H38" t="n">
        <v>150</v>
      </c>
      <c r="I38" s="24" t="n">
        <v>0.941860465116279</v>
      </c>
      <c r="J38" t="n">
        <v>86</v>
      </c>
      <c r="K38" s="24" t="n">
        <v>0.0617283950617284</v>
      </c>
      <c r="L38" t="n">
        <v>81</v>
      </c>
      <c r="M38" s="24" t="n">
        <v>0.0246913580246914</v>
      </c>
      <c r="N38" t="n">
        <v>81</v>
      </c>
      <c r="O38" s="24" t="n">
        <v>0.92</v>
      </c>
      <c r="P38" t="n">
        <v>75</v>
      </c>
      <c r="Q38" s="24" t="n">
        <v>0.130434782608696</v>
      </c>
      <c r="R38" t="n">
        <v>69</v>
      </c>
      <c r="S38" s="24" t="n">
        <v>0.0579710144927536</v>
      </c>
      <c r="T38" s="12" t="n">
        <v>69</v>
      </c>
    </row>
    <row r="39" outlineLevel="1" hidden="0">
      <c r="A39" s="7" t="s">
        <v>15</v>
      </c>
      <c r="B39" t="s">
        <v>43</v>
      </c>
      <c r="C39" s="24" t="n">
        <v>0.910798122065728</v>
      </c>
      <c r="D39" t="n">
        <v>213</v>
      </c>
      <c r="E39" s="24" t="n">
        <v>0.0979381443298969</v>
      </c>
      <c r="F39" t="n">
        <v>194</v>
      </c>
      <c r="G39" s="24" t="n">
        <v>0.0154639175257732</v>
      </c>
      <c r="H39" t="n">
        <v>194</v>
      </c>
      <c r="I39" s="24" t="n">
        <v>0.899082568807339</v>
      </c>
      <c r="J39" t="n">
        <v>109</v>
      </c>
      <c r="K39" s="24" t="n">
        <v>0.0612244897959184</v>
      </c>
      <c r="L39" t="n">
        <v>98</v>
      </c>
      <c r="M39" s="24" t="n">
        <v>0.0102040816326531</v>
      </c>
      <c r="N39" t="n">
        <v>98</v>
      </c>
      <c r="O39" s="24" t="n">
        <v>0.923076923076923</v>
      </c>
      <c r="P39" t="n">
        <v>104</v>
      </c>
      <c r="Q39" s="24" t="n">
        <v>0.135416666666667</v>
      </c>
      <c r="R39" t="n">
        <v>96</v>
      </c>
      <c r="S39" s="24" t="n">
        <v>0.0208333333333333</v>
      </c>
      <c r="T39" s="12" t="n">
        <v>96</v>
      </c>
    </row>
    <row r="40" outlineLevel="1" hidden="0">
      <c r="A40" s="7" t="s">
        <v>15</v>
      </c>
      <c r="B40" t="s">
        <v>44</v>
      </c>
      <c r="C40" s="24" t="n">
        <v>0.920398009950249</v>
      </c>
      <c r="D40" t="n">
        <v>201</v>
      </c>
      <c r="E40" s="24" t="n">
        <v>0.0540540540540541</v>
      </c>
      <c r="F40" t="n">
        <v>185</v>
      </c>
      <c r="G40" s="24" t="n">
        <v>0.0486486486486487</v>
      </c>
      <c r="H40" t="n">
        <v>185</v>
      </c>
      <c r="I40" s="24" t="n">
        <v>0.908163265306123</v>
      </c>
      <c r="J40" t="n">
        <v>98</v>
      </c>
      <c r="K40" s="24" t="n">
        <v>0.0674157303370786</v>
      </c>
      <c r="L40" t="n">
        <v>89</v>
      </c>
      <c r="M40" s="24" t="n">
        <v>0.0337078651685393</v>
      </c>
      <c r="N40" t="n">
        <v>89</v>
      </c>
      <c r="O40" s="24" t="n">
        <v>0.932038834951456</v>
      </c>
      <c r="P40" t="n">
        <v>103</v>
      </c>
      <c r="Q40" s="24" t="n">
        <v>0.0416666666666667</v>
      </c>
      <c r="R40" t="n">
        <v>96</v>
      </c>
      <c r="S40" s="24" t="n">
        <v>0.0625</v>
      </c>
      <c r="T40" s="12" t="n">
        <v>96</v>
      </c>
    </row>
    <row r="41" outlineLevel="1" hidden="0">
      <c r="A41" s="7" t="s">
        <v>15</v>
      </c>
      <c r="B41" t="s">
        <v>45</v>
      </c>
      <c r="C41" s="24" t="n">
        <v>0.822916666666667</v>
      </c>
      <c r="D41" t="n">
        <v>192</v>
      </c>
      <c r="E41" s="24" t="n">
        <v>0.221518987341772</v>
      </c>
      <c r="F41" t="n">
        <v>158</v>
      </c>
      <c r="G41" s="24" t="n">
        <v>0.0759493670886076</v>
      </c>
      <c r="H41" t="n">
        <v>158</v>
      </c>
      <c r="I41" s="24" t="n">
        <v>0.867256637168142</v>
      </c>
      <c r="J41" t="n">
        <v>113</v>
      </c>
      <c r="K41" s="24" t="n">
        <v>0.224489795918367</v>
      </c>
      <c r="L41" t="n">
        <v>98</v>
      </c>
      <c r="M41" s="24" t="n">
        <v>0.102040816326531</v>
      </c>
      <c r="N41" t="n">
        <v>98</v>
      </c>
      <c r="O41" s="24" t="n">
        <v>0.759493670886076</v>
      </c>
      <c r="P41" t="n">
        <v>79</v>
      </c>
      <c r="Q41" s="24" t="n">
        <v>0.216666666666667</v>
      </c>
      <c r="R41" t="n">
        <v>60</v>
      </c>
      <c r="S41" s="24" t="n">
        <v>0.0333333333333333</v>
      </c>
      <c r="T41" s="12" t="n">
        <v>60</v>
      </c>
    </row>
    <row r="42" outlineLevel="1" hidden="0">
      <c r="A42" s="7" t="s">
        <v>15</v>
      </c>
      <c r="B42" t="s">
        <v>46</v>
      </c>
      <c r="C42" s="24" t="n">
        <v>0.819277108433735</v>
      </c>
      <c r="D42" t="n">
        <v>166</v>
      </c>
      <c r="E42" s="24" t="n">
        <v>0.105263157894737</v>
      </c>
      <c r="F42" t="n">
        <v>133</v>
      </c>
      <c r="G42" s="24" t="n">
        <v>0.037593984962406</v>
      </c>
      <c r="H42" t="n">
        <v>133</v>
      </c>
      <c r="I42" s="24" t="n">
        <v>0.80952380952381</v>
      </c>
      <c r="J42" t="n">
        <v>84</v>
      </c>
      <c r="K42" s="24" t="n">
        <v>0.119402985074627</v>
      </c>
      <c r="L42" t="n">
        <v>67</v>
      </c>
      <c r="M42" s="24" t="n">
        <v>0.0447761194029851</v>
      </c>
      <c r="N42" t="n">
        <v>67</v>
      </c>
      <c r="O42" s="24" t="n">
        <v>0.829268292682927</v>
      </c>
      <c r="P42" t="n">
        <v>82</v>
      </c>
      <c r="Q42" s="24" t="n">
        <v>0.0909090909090909</v>
      </c>
      <c r="R42" t="n">
        <v>66</v>
      </c>
      <c r="S42" s="24" t="n">
        <v>0.0303030303030303</v>
      </c>
      <c r="T42" s="12" t="n">
        <v>66</v>
      </c>
    </row>
    <row r="43" outlineLevel="1" hidden="0">
      <c r="A43" s="7" t="s">
        <v>15</v>
      </c>
      <c r="B43" t="s">
        <v>47</v>
      </c>
      <c r="C43" s="24" t="n">
        <v>0.728205128205128</v>
      </c>
      <c r="D43" t="n">
        <v>195</v>
      </c>
      <c r="E43" s="24" t="n">
        <v>0.128571428571429</v>
      </c>
      <c r="F43" t="n">
        <v>140</v>
      </c>
      <c r="G43" s="24" t="n">
        <v>0.0571428571428571</v>
      </c>
      <c r="H43" t="n">
        <v>140</v>
      </c>
      <c r="I43" s="24" t="n">
        <v>0.731182795698925</v>
      </c>
      <c r="J43" t="n">
        <v>93</v>
      </c>
      <c r="K43" s="24" t="n">
        <v>0.0882352941176471</v>
      </c>
      <c r="L43" t="n">
        <v>68</v>
      </c>
      <c r="M43" s="24" t="n">
        <v>0.0147058823529412</v>
      </c>
      <c r="N43" t="n">
        <v>68</v>
      </c>
      <c r="O43" s="24" t="n">
        <v>0.725490196078431</v>
      </c>
      <c r="P43" t="n">
        <v>102</v>
      </c>
      <c r="Q43" s="24" t="n">
        <v>0.166666666666667</v>
      </c>
      <c r="R43" t="n">
        <v>72</v>
      </c>
      <c r="S43" s="24" t="n">
        <v>0.0972222222222222</v>
      </c>
      <c r="T43" s="12" t="n">
        <v>72</v>
      </c>
    </row>
    <row r="44" outlineLevel="1" hidden="0">
      <c r="A44" s="7" t="s">
        <v>15</v>
      </c>
      <c r="B44" t="s">
        <v>48</v>
      </c>
      <c r="C44" s="24" t="n">
        <v>0.867647058823529</v>
      </c>
      <c r="D44" t="n">
        <v>204</v>
      </c>
      <c r="E44" s="24" t="n">
        <v>0.0411764705882353</v>
      </c>
      <c r="F44" t="n">
        <v>170</v>
      </c>
      <c r="G44" s="24" t="n">
        <v>0.0352941176470588</v>
      </c>
      <c r="H44" t="n">
        <v>170</v>
      </c>
      <c r="I44" s="24" t="n">
        <v>0.875</v>
      </c>
      <c r="J44" t="n">
        <v>112</v>
      </c>
      <c r="K44" s="24" t="n">
        <v>0.0526315789473684</v>
      </c>
      <c r="L44" t="n">
        <v>95</v>
      </c>
      <c r="M44" s="24" t="n">
        <v>0.0421052631578947</v>
      </c>
      <c r="N44" t="n">
        <v>95</v>
      </c>
      <c r="O44" s="24" t="n">
        <v>0.858695652173913</v>
      </c>
      <c r="P44" t="n">
        <v>92</v>
      </c>
      <c r="Q44" s="24" t="n">
        <v>0.0266666666666667</v>
      </c>
      <c r="R44" t="n">
        <v>75</v>
      </c>
      <c r="S44" s="24" t="n">
        <v>0.0266666666666667</v>
      </c>
      <c r="T44" s="12" t="n">
        <v>75</v>
      </c>
    </row>
    <row r="45" outlineLevel="1" hidden="0">
      <c r="A45" s="7" t="s">
        <v>15</v>
      </c>
      <c r="B45" t="s">
        <v>49</v>
      </c>
      <c r="C45" s="24" t="n">
        <v>0.838888888888889</v>
      </c>
      <c r="D45" t="n">
        <v>180</v>
      </c>
      <c r="E45" s="24" t="n">
        <v>0.193333333333333</v>
      </c>
      <c r="F45" t="n">
        <v>150</v>
      </c>
      <c r="G45" s="24" t="n">
        <v>0.04</v>
      </c>
      <c r="H45" t="n">
        <v>150</v>
      </c>
      <c r="I45" s="24" t="n">
        <v>0.847058823529412</v>
      </c>
      <c r="J45" t="n">
        <v>85</v>
      </c>
      <c r="K45" s="24" t="n">
        <v>0.154929577464789</v>
      </c>
      <c r="L45" t="n">
        <v>71</v>
      </c>
      <c r="M45" s="24" t="n">
        <v>0.028169014084507</v>
      </c>
      <c r="N45" t="n">
        <v>71</v>
      </c>
      <c r="O45" s="24" t="n">
        <v>0.831578947368421</v>
      </c>
      <c r="P45" t="n">
        <v>95</v>
      </c>
      <c r="Q45" s="24" t="n">
        <v>0.227848101265823</v>
      </c>
      <c r="R45" t="n">
        <v>79</v>
      </c>
      <c r="S45" s="24" t="n">
        <v>0.0506329113924051</v>
      </c>
      <c r="T45" s="12" t="n">
        <v>79</v>
      </c>
    </row>
    <row r="46" outlineLevel="1" hidden="0">
      <c r="A46" s="7" t="s">
        <v>15</v>
      </c>
      <c r="B46" t="s">
        <v>50</v>
      </c>
      <c r="C46" s="24" t="n">
        <v>0.863636363636364</v>
      </c>
      <c r="D46" t="n">
        <v>198</v>
      </c>
      <c r="E46" s="24" t="n">
        <v>0.0935672514619883</v>
      </c>
      <c r="F46" t="n">
        <v>171</v>
      </c>
      <c r="G46" s="24" t="n">
        <v>0.0233918128654971</v>
      </c>
      <c r="H46" t="n">
        <v>171</v>
      </c>
      <c r="I46" s="24" t="n">
        <v>0.858490566037736</v>
      </c>
      <c r="J46" t="n">
        <v>106</v>
      </c>
      <c r="K46" s="24" t="n">
        <v>0.0769230769230769</v>
      </c>
      <c r="L46" t="n">
        <v>91</v>
      </c>
      <c r="M46" s="24" t="n">
        <v>0.032967032967033</v>
      </c>
      <c r="N46" t="n">
        <v>91</v>
      </c>
      <c r="O46" s="24" t="n">
        <v>0.869565217391304</v>
      </c>
      <c r="P46" t="n">
        <v>92</v>
      </c>
      <c r="Q46" s="24" t="n">
        <v>0.1125</v>
      </c>
      <c r="R46" t="n">
        <v>80</v>
      </c>
      <c r="S46" s="24" t="n">
        <v>0.0125</v>
      </c>
      <c r="T46" s="12" t="n">
        <v>80</v>
      </c>
    </row>
    <row r="47" outlineLevel="1" hidden="0">
      <c r="A47" s="7" t="s">
        <v>15</v>
      </c>
      <c r="B47" t="s">
        <v>51</v>
      </c>
      <c r="C47" s="24" t="n">
        <v>0.935483870967742</v>
      </c>
      <c r="D47" t="n">
        <v>124</v>
      </c>
      <c r="E47" s="24" t="n">
        <v>0.146551724137931</v>
      </c>
      <c r="F47" t="n">
        <v>116</v>
      </c>
      <c r="G47" s="24" t="n">
        <v>0.0344827586206897</v>
      </c>
      <c r="H47" t="n">
        <v>116</v>
      </c>
      <c r="I47" s="24" t="n">
        <v>0.951612903225806</v>
      </c>
      <c r="J47" t="n">
        <v>62</v>
      </c>
      <c r="K47" s="24" t="n">
        <v>0.11864406779661</v>
      </c>
      <c r="L47" t="n">
        <v>59</v>
      </c>
      <c r="M47" s="24" t="n">
        <v>0.0338983050847458</v>
      </c>
      <c r="N47" t="n">
        <v>59</v>
      </c>
      <c r="O47" s="24" t="n">
        <v>0.919354838709677</v>
      </c>
      <c r="P47" t="n">
        <v>62</v>
      </c>
      <c r="Q47" s="24" t="n">
        <v>0.175438596491228</v>
      </c>
      <c r="R47" t="n">
        <v>57</v>
      </c>
      <c r="S47" s="24" t="n">
        <v>0.0350877192982456</v>
      </c>
      <c r="T47" s="12" t="n">
        <v>57</v>
      </c>
    </row>
    <row r="48" outlineLevel="1" hidden="0">
      <c r="A48" s="7" t="s">
        <v>15</v>
      </c>
      <c r="B48" t="s">
        <v>52</v>
      </c>
      <c r="C48" s="24" t="n">
        <v>0.830334190231363</v>
      </c>
      <c r="D48" t="n">
        <v>778</v>
      </c>
      <c r="E48" s="24" t="n">
        <v>0.0526315789473684</v>
      </c>
      <c r="F48" t="n">
        <v>646</v>
      </c>
      <c r="G48" s="24" t="n">
        <v>0.0201238390092879</v>
      </c>
      <c r="H48" t="n">
        <v>646</v>
      </c>
      <c r="I48" s="24" t="n">
        <v>0.85377358490566</v>
      </c>
      <c r="J48" t="n">
        <v>424</v>
      </c>
      <c r="K48" s="24" t="n">
        <v>0.0469613259668508</v>
      </c>
      <c r="L48" t="n">
        <v>362</v>
      </c>
      <c r="M48" s="24" t="n">
        <v>0.00276243093922652</v>
      </c>
      <c r="N48" t="n">
        <v>362</v>
      </c>
      <c r="O48" s="24" t="n">
        <v>0.80225988700565</v>
      </c>
      <c r="P48" t="n">
        <v>354</v>
      </c>
      <c r="Q48" s="24" t="n">
        <v>0.0598591549295775</v>
      </c>
      <c r="R48" t="n">
        <v>284</v>
      </c>
      <c r="S48" s="24" t="n">
        <v>0.0422535211267606</v>
      </c>
      <c r="T48" s="12" t="n">
        <v>284</v>
      </c>
    </row>
    <row r="49" outlineLevel="1" hidden="0">
      <c r="A49" s="7" t="s">
        <v>15</v>
      </c>
      <c r="B49" t="s">
        <v>53</v>
      </c>
      <c r="C49" s="24" t="n">
        <v>0.756972111553785</v>
      </c>
      <c r="D49" t="n">
        <v>251</v>
      </c>
      <c r="E49" s="24" t="n">
        <v>0.215789473684211</v>
      </c>
      <c r="F49" t="n">
        <v>190</v>
      </c>
      <c r="G49" s="24" t="n">
        <v>0.0842105263157895</v>
      </c>
      <c r="H49" t="n">
        <v>190</v>
      </c>
      <c r="I49" s="24" t="n">
        <v>0.72972972972973</v>
      </c>
      <c r="J49" t="n">
        <v>111</v>
      </c>
      <c r="K49" s="24" t="n">
        <v>0.234567901234568</v>
      </c>
      <c r="L49" t="n">
        <v>81</v>
      </c>
      <c r="M49" s="24" t="n">
        <v>0.0493827160493827</v>
      </c>
      <c r="N49" t="n">
        <v>81</v>
      </c>
      <c r="O49" s="24" t="n">
        <v>0.778571428571429</v>
      </c>
      <c r="P49" t="n">
        <v>140</v>
      </c>
      <c r="Q49" s="24" t="n">
        <v>0.201834862385321</v>
      </c>
      <c r="R49" t="n">
        <v>109</v>
      </c>
      <c r="S49" s="24" t="n">
        <v>0.110091743119266</v>
      </c>
      <c r="T49" s="12" t="n">
        <v>109</v>
      </c>
    </row>
    <row r="50" outlineLevel="1" hidden="0">
      <c r="A50" s="7" t="s">
        <v>15</v>
      </c>
      <c r="B50" t="s">
        <v>54</v>
      </c>
      <c r="C50" s="24" t="n">
        <v>0.91</v>
      </c>
      <c r="D50" t="n">
        <v>200</v>
      </c>
      <c r="E50" s="24" t="n">
        <v>0.054945054945055</v>
      </c>
      <c r="F50" t="n">
        <v>182</v>
      </c>
      <c r="G50" s="24" t="n">
        <v>0.032967032967033</v>
      </c>
      <c r="H50" t="n">
        <v>182</v>
      </c>
      <c r="I50" s="24" t="n">
        <v>0.894230769230769</v>
      </c>
      <c r="J50" t="n">
        <v>104</v>
      </c>
      <c r="K50" s="24" t="n">
        <v>0.021505376344086</v>
      </c>
      <c r="L50" t="n">
        <v>93</v>
      </c>
      <c r="M50" s="24" t="n">
        <v>0.021505376344086</v>
      </c>
      <c r="N50" t="n">
        <v>93</v>
      </c>
      <c r="O50" s="24" t="n">
        <v>0.927083333333333</v>
      </c>
      <c r="P50" t="n">
        <v>96</v>
      </c>
      <c r="Q50" s="24" t="n">
        <v>0.0898876404494382</v>
      </c>
      <c r="R50" t="n">
        <v>89</v>
      </c>
      <c r="S50" s="24" t="n">
        <v>0.0449438202247191</v>
      </c>
      <c r="T50" s="12" t="n">
        <v>89</v>
      </c>
    </row>
    <row r="51" outlineLevel="1" hidden="0">
      <c r="A51" s="7" t="s">
        <v>15</v>
      </c>
      <c r="B51" t="s">
        <v>55</v>
      </c>
      <c r="C51" s="24" t="n">
        <v>0.871951219512195</v>
      </c>
      <c r="D51" t="n">
        <v>164</v>
      </c>
      <c r="E51" s="24" t="n">
        <v>0.181818181818182</v>
      </c>
      <c r="F51" t="n">
        <v>143</v>
      </c>
      <c r="G51" s="24" t="n">
        <v>0.041958041958042</v>
      </c>
      <c r="H51" t="n">
        <v>143</v>
      </c>
      <c r="I51" s="24" t="n">
        <v>0.916666666666667</v>
      </c>
      <c r="J51" t="n">
        <v>72</v>
      </c>
      <c r="K51" s="24" t="n">
        <v>0.136363636363636</v>
      </c>
      <c r="L51" t="n">
        <v>66</v>
      </c>
      <c r="M51" s="24" t="n">
        <v>0.0606060606060606</v>
      </c>
      <c r="N51" t="n">
        <v>66</v>
      </c>
      <c r="O51" s="24" t="n">
        <v>0.83695652173913</v>
      </c>
      <c r="P51" t="n">
        <v>92</v>
      </c>
      <c r="Q51" s="24" t="n">
        <v>0.220779220779221</v>
      </c>
      <c r="R51" t="n">
        <v>77</v>
      </c>
      <c r="S51" s="24" t="n">
        <v>0.025974025974026</v>
      </c>
      <c r="T51" s="12" t="n">
        <v>77</v>
      </c>
    </row>
    <row r="52" outlineLevel="1" hidden="0">
      <c r="A52" s="8" t="s">
        <v>15</v>
      </c>
      <c r="B52" s="10" t="s">
        <v>56</v>
      </c>
      <c r="C52" s="23" t="n">
        <v>0.8125</v>
      </c>
      <c r="D52" s="10" t="n">
        <v>160</v>
      </c>
      <c r="E52" s="23" t="n">
        <v>0.146153846153846</v>
      </c>
      <c r="F52" s="10" t="n">
        <v>130</v>
      </c>
      <c r="G52" s="23" t="n">
        <v>0.0461538461538462</v>
      </c>
      <c r="H52" s="10" t="n">
        <v>130</v>
      </c>
      <c r="I52" s="23" t="n">
        <v>0.827586206896552</v>
      </c>
      <c r="J52" s="10" t="n">
        <v>87</v>
      </c>
      <c r="K52" s="23" t="n">
        <v>0.125</v>
      </c>
      <c r="L52" s="10" t="n">
        <v>72</v>
      </c>
      <c r="M52" s="23" t="n">
        <v>0.0694444444444444</v>
      </c>
      <c r="N52" s="10" t="n">
        <v>72</v>
      </c>
      <c r="O52" s="23" t="n">
        <v>0.794520547945205</v>
      </c>
      <c r="P52" s="10" t="n">
        <v>73</v>
      </c>
      <c r="Q52" s="23" t="n">
        <v>0.172413793103448</v>
      </c>
      <c r="R52" s="10" t="n">
        <v>58</v>
      </c>
      <c r="S52" s="23" t="n">
        <v>0.0172413793103448</v>
      </c>
      <c r="T52" s="13" t="n">
        <v>58</v>
      </c>
    </row>
    <row r="53">
      <c r="C53" s="24"/>
      <c r="E53" s="24"/>
      <c r="G53" s="24"/>
      <c r="I53" s="24"/>
      <c r="K53" s="24"/>
      <c r="M53" s="24"/>
      <c r="O53" s="24"/>
      <c r="Q53" s="24"/>
      <c r="S53" s="24"/>
    </row>
    <row r="54">
      <c r="A54" s="2" t="s">
        <v>57</v>
      </c>
      <c r="B54" s="2"/>
      <c r="C54" s="20"/>
      <c r="D54" s="2"/>
      <c r="E54" s="20"/>
      <c r="F54" s="2"/>
      <c r="G54" s="20"/>
      <c r="H54" s="2"/>
      <c r="I54" s="20"/>
      <c r="J54" s="2"/>
      <c r="K54" s="20"/>
      <c r="L54" s="2"/>
      <c r="M54" s="20"/>
      <c r="N54" s="2"/>
      <c r="O54" s="20"/>
      <c r="P54" s="2"/>
      <c r="Q54" s="20"/>
      <c r="R54" s="2"/>
      <c r="S54" s="20"/>
      <c r="T54" s="2"/>
    </row>
    <row r="55" outlineLevel="1" hidden="0">
      <c r="A55" s="6" t="s">
        <v>15</v>
      </c>
      <c r="B55" s="9" t="s">
        <v>58</v>
      </c>
      <c r="C55" s="22" t="n">
        <v>0.833333333333333</v>
      </c>
      <c r="D55" s="9" t="n">
        <v>6</v>
      </c>
      <c r="E55" s="22" t="n">
        <v>0.2</v>
      </c>
      <c r="F55" s="9" t="n">
        <v>5</v>
      </c>
      <c r="G55" s="22" t="n">
        <v>0.2</v>
      </c>
      <c r="H55" s="9" t="n">
        <v>5</v>
      </c>
      <c r="I55" s="22" t="n">
        <v>1</v>
      </c>
      <c r="J55" s="9" t="n">
        <v>2</v>
      </c>
      <c r="K55" s="22"/>
      <c r="L55" s="9"/>
      <c r="M55" s="22" t="n">
        <v>0.5</v>
      </c>
      <c r="N55" s="9" t="n">
        <v>2</v>
      </c>
      <c r="O55" s="22" t="n">
        <v>0.75</v>
      </c>
      <c r="P55" s="9" t="n">
        <v>4</v>
      </c>
      <c r="Q55" s="22" t="n">
        <v>0.333333333333333</v>
      </c>
      <c r="R55" s="9" t="n">
        <v>3</v>
      </c>
      <c r="S55" s="22"/>
      <c r="T55" s="11"/>
    </row>
    <row r="56" outlineLevel="1" hidden="0">
      <c r="A56" s="7" t="s">
        <v>15</v>
      </c>
      <c r="B56" t="s">
        <v>59</v>
      </c>
      <c r="C56" s="24" t="n">
        <v>0.800502722139639</v>
      </c>
      <c r="D56" t="n">
        <v>550</v>
      </c>
      <c r="E56" s="24" t="n">
        <v>0.158289425000229</v>
      </c>
      <c r="F56" t="n">
        <v>428</v>
      </c>
      <c r="G56" s="24" t="n">
        <v>0.0315348537088316</v>
      </c>
      <c r="H56" t="n">
        <v>428</v>
      </c>
      <c r="I56" s="24" t="n">
        <v>0.848144378059237</v>
      </c>
      <c r="J56" t="n">
        <v>283</v>
      </c>
      <c r="K56" s="24" t="n">
        <v>0.12149806864567</v>
      </c>
      <c r="L56" t="n">
        <v>226</v>
      </c>
      <c r="M56" s="24" t="n">
        <v>0.019032576167309</v>
      </c>
      <c r="N56" t="n">
        <v>226</v>
      </c>
      <c r="O56" s="24" t="n">
        <v>0.751810929660585</v>
      </c>
      <c r="P56" t="n">
        <v>267</v>
      </c>
      <c r="Q56" s="24" t="n">
        <v>0.200720205548334</v>
      </c>
      <c r="R56" t="n">
        <v>202</v>
      </c>
      <c r="S56" s="24" t="n">
        <v>0.0459534956747212</v>
      </c>
      <c r="T56" s="12" t="n">
        <v>202</v>
      </c>
    </row>
    <row r="57" outlineLevel="1" hidden="0">
      <c r="A57" s="7" t="s">
        <v>15</v>
      </c>
      <c r="B57" t="s">
        <v>60</v>
      </c>
      <c r="C57" s="24" t="n">
        <v>1</v>
      </c>
      <c r="D57" t="n">
        <v>2</v>
      </c>
      <c r="E57" s="24" t="n">
        <v>0.5</v>
      </c>
      <c r="F57" t="n">
        <v>2</v>
      </c>
      <c r="G57" s="24"/>
      <c r="H57"/>
      <c r="I57" s="24" t="n">
        <v>1</v>
      </c>
      <c r="J57" t="n">
        <v>1</v>
      </c>
      <c r="K57" s="24"/>
      <c r="L57"/>
      <c r="M57" s="24"/>
      <c r="N57"/>
      <c r="O57" s="24" t="n">
        <v>1</v>
      </c>
      <c r="P57" t="n">
        <v>1</v>
      </c>
      <c r="Q57" s="24" t="n">
        <v>1</v>
      </c>
      <c r="R57" t="n">
        <v>1</v>
      </c>
      <c r="S57" s="24"/>
      <c r="T57" s="12"/>
    </row>
    <row r="58" outlineLevel="1" hidden="0">
      <c r="A58" s="7" t="s">
        <v>15</v>
      </c>
      <c r="B58" t="s">
        <v>61</v>
      </c>
      <c r="C58" s="24" t="n">
        <v>0.398185352053542</v>
      </c>
      <c r="D58" t="n">
        <v>16</v>
      </c>
      <c r="E58" s="24" t="n">
        <v>0.459971173396796</v>
      </c>
      <c r="F58" t="n">
        <v>9</v>
      </c>
      <c r="G58" s="24"/>
      <c r="H58"/>
      <c r="I58" s="24" t="n">
        <v>0.343422368002267</v>
      </c>
      <c r="J58" t="n">
        <v>12</v>
      </c>
      <c r="K58" s="24" t="n">
        <v>0.366752164635649</v>
      </c>
      <c r="L58" t="n">
        <v>6</v>
      </c>
      <c r="M58" s="24"/>
      <c r="N58"/>
      <c r="O58" s="24" t="n">
        <v>0.580557429965357</v>
      </c>
      <c r="P58" t="n">
        <v>4</v>
      </c>
      <c r="Q58" s="24" t="n">
        <v>0.643607718307021</v>
      </c>
      <c r="R58" t="n">
        <v>3</v>
      </c>
      <c r="S58" s="24"/>
      <c r="T58" s="12"/>
    </row>
    <row r="59" outlineLevel="1" hidden="0">
      <c r="A59" s="7" t="s">
        <v>15</v>
      </c>
      <c r="B59" t="s">
        <v>62</v>
      </c>
      <c r="C59" s="24" t="n">
        <v>0.79831213113205</v>
      </c>
      <c r="D59" t="n">
        <v>2</v>
      </c>
      <c r="E59" s="24"/>
      <c r="F59"/>
      <c r="G59" s="24"/>
      <c r="H59"/>
      <c r="I59" s="24" t="n">
        <v>1</v>
      </c>
      <c r="J59" t="n">
        <v>1</v>
      </c>
      <c r="K59" s="24"/>
      <c r="L59"/>
      <c r="M59" s="24"/>
      <c r="N59"/>
      <c r="O59" s="24"/>
      <c r="P59"/>
      <c r="Q59" s="24"/>
      <c r="R59"/>
      <c r="S59" s="24"/>
      <c r="T59" s="12"/>
    </row>
    <row r="60" outlineLevel="1" hidden="0">
      <c r="A60" s="7" t="s">
        <v>15</v>
      </c>
      <c r="B60" t="s">
        <v>63</v>
      </c>
      <c r="C60" s="24" t="n">
        <v>0.919029525955638</v>
      </c>
      <c r="D60" t="n">
        <v>66</v>
      </c>
      <c r="E60" s="24" t="n">
        <v>0.1567447519106</v>
      </c>
      <c r="F60" t="n">
        <v>60</v>
      </c>
      <c r="G60" s="24" t="n">
        <v>0.0199671635266631</v>
      </c>
      <c r="H60" t="n">
        <v>60</v>
      </c>
      <c r="I60" s="24" t="n">
        <v>0.9681668667669</v>
      </c>
      <c r="J60" t="n">
        <v>34</v>
      </c>
      <c r="K60" s="24" t="n">
        <v>0.103960398555433</v>
      </c>
      <c r="L60" t="n">
        <v>32</v>
      </c>
      <c r="M60" s="24" t="n">
        <v>0.0299192519412348</v>
      </c>
      <c r="N60" t="n">
        <v>32</v>
      </c>
      <c r="O60" s="24" t="n">
        <v>0.87682407013621</v>
      </c>
      <c r="P60" t="n">
        <v>32</v>
      </c>
      <c r="Q60" s="24" t="n">
        <v>0.206805796003725</v>
      </c>
      <c r="R60" t="n">
        <v>28</v>
      </c>
      <c r="S60" s="24" t="n">
        <v>0.0105285343634287</v>
      </c>
      <c r="T60" s="12" t="n">
        <v>28</v>
      </c>
    </row>
    <row r="61" outlineLevel="1" hidden="0">
      <c r="A61" s="7" t="s">
        <v>15</v>
      </c>
      <c r="B61" t="s">
        <v>64</v>
      </c>
      <c r="C61" s="24" t="n">
        <v>1</v>
      </c>
      <c r="D61" t="n">
        <v>9</v>
      </c>
      <c r="E61" s="24" t="n">
        <v>0.603887654537656</v>
      </c>
      <c r="F61" t="n">
        <v>9</v>
      </c>
      <c r="G61" s="24" t="n">
        <v>0.133038118993986</v>
      </c>
      <c r="H61" t="n">
        <v>9</v>
      </c>
      <c r="I61" s="24" t="n">
        <v>1</v>
      </c>
      <c r="J61" t="n">
        <v>5</v>
      </c>
      <c r="K61" s="24" t="n">
        <v>0.472267287380724</v>
      </c>
      <c r="L61" t="n">
        <v>5</v>
      </c>
      <c r="M61" s="24" t="n">
        <v>0.266877407038225</v>
      </c>
      <c r="N61" t="n">
        <v>5</v>
      </c>
      <c r="O61" s="24" t="n">
        <v>1</v>
      </c>
      <c r="P61" t="n">
        <v>4</v>
      </c>
      <c r="Q61" s="24" t="n">
        <v>0.734720135222014</v>
      </c>
      <c r="R61" t="n">
        <v>4</v>
      </c>
      <c r="S61" s="24"/>
      <c r="T61" s="12"/>
    </row>
    <row r="62" outlineLevel="1" hidden="0">
      <c r="A62" s="7" t="s">
        <v>15</v>
      </c>
      <c r="B62" t="s">
        <v>65</v>
      </c>
      <c r="C62" s="24" t="n">
        <v>1</v>
      </c>
      <c r="D62" t="n">
        <v>7</v>
      </c>
      <c r="E62" s="24"/>
      <c r="F62"/>
      <c r="G62" s="24"/>
      <c r="H62"/>
      <c r="I62" s="24" t="n">
        <v>1</v>
      </c>
      <c r="J62" t="n">
        <v>3</v>
      </c>
      <c r="K62" s="24"/>
      <c r="L62"/>
      <c r="M62" s="24"/>
      <c r="N62"/>
      <c r="O62" s="24" t="n">
        <v>1</v>
      </c>
      <c r="P62" t="n">
        <v>4</v>
      </c>
      <c r="Q62" s="24"/>
      <c r="R62"/>
      <c r="S62" s="24"/>
      <c r="T62" s="12"/>
    </row>
    <row r="63" outlineLevel="1" hidden="0">
      <c r="A63" s="7" t="s">
        <v>15</v>
      </c>
      <c r="B63" t="s">
        <v>66</v>
      </c>
      <c r="C63" s="24" t="n">
        <v>1</v>
      </c>
      <c r="D63" t="n">
        <v>3</v>
      </c>
      <c r="E63" s="24" t="n">
        <v>0.542430895223942</v>
      </c>
      <c r="F63" t="n">
        <v>3</v>
      </c>
      <c r="G63" s="24"/>
      <c r="H63"/>
      <c r="I63" s="24" t="n">
        <v>1</v>
      </c>
      <c r="J63" t="n">
        <v>2</v>
      </c>
      <c r="K63" s="24" t="n">
        <v>0.156447192066466</v>
      </c>
      <c r="L63" t="n">
        <v>2</v>
      </c>
      <c r="M63" s="24"/>
      <c r="N63"/>
      <c r="O63" s="24" t="n">
        <v>1</v>
      </c>
      <c r="P63" t="n">
        <v>1</v>
      </c>
      <c r="Q63" s="24" t="n">
        <v>1</v>
      </c>
      <c r="R63" t="n">
        <v>1</v>
      </c>
      <c r="S63" s="24"/>
      <c r="T63" s="12"/>
    </row>
    <row r="64" outlineLevel="1" hidden="0">
      <c r="A64" s="7" t="s">
        <v>15</v>
      </c>
      <c r="B64" t="s">
        <v>67</v>
      </c>
      <c r="C64" s="24" t="n">
        <v>0.677944887201367</v>
      </c>
      <c r="D64" t="n">
        <v>99</v>
      </c>
      <c r="E64" s="24" t="n">
        <v>0.265755510062736</v>
      </c>
      <c r="F64" t="n">
        <v>72</v>
      </c>
      <c r="G64" s="24" t="n">
        <v>0.0617907830829398</v>
      </c>
      <c r="H64" t="n">
        <v>72</v>
      </c>
      <c r="I64" s="24" t="n">
        <v>0.707440949103425</v>
      </c>
      <c r="J64" t="n">
        <v>42</v>
      </c>
      <c r="K64" s="24" t="n">
        <v>0.256497560154145</v>
      </c>
      <c r="L64" t="n">
        <v>30</v>
      </c>
      <c r="M64" s="24" t="n">
        <v>0.0451120087264522</v>
      </c>
      <c r="N64" t="n">
        <v>30</v>
      </c>
      <c r="O64" s="24" t="n">
        <v>0.652843323867968</v>
      </c>
      <c r="P64" t="n">
        <v>57</v>
      </c>
      <c r="Q64" s="24" t="n">
        <v>0.274293050787562</v>
      </c>
      <c r="R64" t="n">
        <v>42</v>
      </c>
      <c r="S64" s="24" t="n">
        <v>0.0771716953491169</v>
      </c>
      <c r="T64" s="12" t="n">
        <v>42</v>
      </c>
    </row>
    <row r="65" outlineLevel="1" hidden="0">
      <c r="A65" s="7" t="s">
        <v>15</v>
      </c>
      <c r="B65" t="s">
        <v>68</v>
      </c>
      <c r="C65" s="24" t="n">
        <v>1</v>
      </c>
      <c r="D65" t="n">
        <v>6</v>
      </c>
      <c r="E65" s="24"/>
      <c r="F65"/>
      <c r="G65" s="24" t="n">
        <v>0.235893935232839</v>
      </c>
      <c r="H65" t="n">
        <v>6</v>
      </c>
      <c r="I65" s="24" t="n">
        <v>1</v>
      </c>
      <c r="J65" t="n">
        <v>1</v>
      </c>
      <c r="K65" s="24"/>
      <c r="L65"/>
      <c r="M65" s="24" t="n">
        <v>1</v>
      </c>
      <c r="N65" t="n">
        <v>1</v>
      </c>
      <c r="O65" s="24" t="n">
        <v>1</v>
      </c>
      <c r="P65" t="n">
        <v>5</v>
      </c>
      <c r="Q65" s="24"/>
      <c r="R65"/>
      <c r="S65" s="24"/>
      <c r="T65" s="12"/>
    </row>
    <row r="66" outlineLevel="1" hidden="0">
      <c r="A66" s="7" t="s">
        <v>15</v>
      </c>
      <c r="B66" t="s">
        <v>69</v>
      </c>
      <c r="C66" s="24" t="n">
        <v>1</v>
      </c>
      <c r="D66" t="n">
        <v>3</v>
      </c>
      <c r="E66" s="24"/>
      <c r="F66"/>
      <c r="G66" s="24"/>
      <c r="H66"/>
      <c r="I66" s="24" t="n">
        <v>1</v>
      </c>
      <c r="J66" t="n">
        <v>2</v>
      </c>
      <c r="K66" s="24"/>
      <c r="L66"/>
      <c r="M66" s="24"/>
      <c r="N66"/>
      <c r="O66" s="24" t="n">
        <v>1</v>
      </c>
      <c r="P66" t="n">
        <v>1</v>
      </c>
      <c r="Q66" s="24"/>
      <c r="R66"/>
      <c r="S66" s="24"/>
      <c r="T66" s="12"/>
    </row>
    <row r="67" outlineLevel="1" hidden="0">
      <c r="A67" s="7" t="s">
        <v>15</v>
      </c>
      <c r="B67" t="s">
        <v>70</v>
      </c>
      <c r="C67" s="24" t="n">
        <v>1</v>
      </c>
      <c r="D67" t="n">
        <v>6</v>
      </c>
      <c r="E67" s="24"/>
      <c r="F67"/>
      <c r="G67" s="24" t="n">
        <v>0.166666666666667</v>
      </c>
      <c r="H67" t="n">
        <v>6</v>
      </c>
      <c r="I67" s="24" t="n">
        <v>1</v>
      </c>
      <c r="J67" t="n">
        <v>2</v>
      </c>
      <c r="K67" s="24"/>
      <c r="L67"/>
      <c r="M67" s="24"/>
      <c r="N67"/>
      <c r="O67" s="24" t="n">
        <v>1</v>
      </c>
      <c r="P67" t="n">
        <v>4</v>
      </c>
      <c r="Q67" s="24"/>
      <c r="R67"/>
      <c r="S67" s="24" t="n">
        <v>0.25</v>
      </c>
      <c r="T67" s="12" t="n">
        <v>4</v>
      </c>
    </row>
    <row r="68" outlineLevel="1" hidden="0">
      <c r="A68" s="7" t="s">
        <v>15</v>
      </c>
      <c r="B68" t="s">
        <v>71</v>
      </c>
      <c r="C68" s="24" t="n">
        <v>0.825337447861513</v>
      </c>
      <c r="D68" t="n">
        <v>8</v>
      </c>
      <c r="E68" s="24" t="n">
        <v>0.0808298519843011</v>
      </c>
      <c r="F68" t="n">
        <v>7</v>
      </c>
      <c r="G68" s="24" t="n">
        <v>0.211625623665867</v>
      </c>
      <c r="H68" t="n">
        <v>7</v>
      </c>
      <c r="I68" s="24" t="n">
        <v>1</v>
      </c>
      <c r="J68" t="n">
        <v>5</v>
      </c>
      <c r="K68" s="24" t="n">
        <v>0.11747221004014</v>
      </c>
      <c r="L68" t="n">
        <v>5</v>
      </c>
      <c r="M68" s="24"/>
      <c r="N68"/>
      <c r="O68" s="24" t="n">
        <v>0.59578659961644</v>
      </c>
      <c r="P68" t="n">
        <v>3</v>
      </c>
      <c r="Q68" s="24"/>
      <c r="R68"/>
      <c r="S68" s="24" t="n">
        <v>0.67845332648265</v>
      </c>
      <c r="T68" s="12" t="n">
        <v>2</v>
      </c>
    </row>
    <row r="69" outlineLevel="1" hidden="0">
      <c r="A69" s="7" t="s">
        <v>15</v>
      </c>
      <c r="B69" t="s">
        <v>72</v>
      </c>
      <c r="C69" s="24" t="n">
        <v>0.920149048717562</v>
      </c>
      <c r="D69" t="n">
        <v>39</v>
      </c>
      <c r="E69" s="24" t="n">
        <v>0.0230136320958694</v>
      </c>
      <c r="F69" t="n">
        <v>36</v>
      </c>
      <c r="G69" s="24" t="n">
        <v>0.0291873525923182</v>
      </c>
      <c r="H69" t="n">
        <v>36</v>
      </c>
      <c r="I69" s="24" t="n">
        <v>0.905974406766536</v>
      </c>
      <c r="J69" t="n">
        <v>21</v>
      </c>
      <c r="K69" s="24"/>
      <c r="L69"/>
      <c r="M69" s="24"/>
      <c r="N69"/>
      <c r="O69" s="24" t="n">
        <v>0.938456372423308</v>
      </c>
      <c r="P69" t="n">
        <v>18</v>
      </c>
      <c r="Q69" s="24" t="n">
        <v>0.051708205386708</v>
      </c>
      <c r="R69" t="n">
        <v>17</v>
      </c>
      <c r="S69" s="24" t="n">
        <v>0.0655796362890819</v>
      </c>
      <c r="T69" s="12" t="n">
        <v>17</v>
      </c>
    </row>
    <row r="70" outlineLevel="1" hidden="0">
      <c r="A70" s="7" t="s">
        <v>15</v>
      </c>
      <c r="B70" t="s">
        <v>73</v>
      </c>
      <c r="C70" s="24" t="n">
        <v>0.6</v>
      </c>
      <c r="D70" t="n">
        <v>5</v>
      </c>
      <c r="E70" s="24"/>
      <c r="F70"/>
      <c r="G70" s="24"/>
      <c r="H70"/>
      <c r="I70" s="24" t="n">
        <v>0.666666666666667</v>
      </c>
      <c r="J70" t="n">
        <v>3</v>
      </c>
      <c r="K70" s="24"/>
      <c r="L70"/>
      <c r="M70" s="24"/>
      <c r="N70"/>
      <c r="O70" s="24" t="n">
        <v>0.5</v>
      </c>
      <c r="P70" t="n">
        <v>2</v>
      </c>
      <c r="Q70" s="24"/>
      <c r="R70"/>
      <c r="S70" s="24"/>
      <c r="T70" s="12"/>
    </row>
    <row r="71" outlineLevel="1" hidden="0">
      <c r="A71" s="7" t="s">
        <v>15</v>
      </c>
      <c r="B71" t="s">
        <v>74</v>
      </c>
      <c r="C71" s="24" t="n">
        <v>1</v>
      </c>
      <c r="D71" t="n">
        <v>3</v>
      </c>
      <c r="E71" s="24"/>
      <c r="F71"/>
      <c r="G71" s="24"/>
      <c r="H71"/>
      <c r="I71" s="24" t="n">
        <v>1</v>
      </c>
      <c r="J71" t="n">
        <v>1</v>
      </c>
      <c r="K71" s="24"/>
      <c r="L71"/>
      <c r="M71" s="24"/>
      <c r="N71"/>
      <c r="O71" s="24" t="n">
        <v>1</v>
      </c>
      <c r="P71" t="n">
        <v>2</v>
      </c>
      <c r="Q71" s="24"/>
      <c r="R71"/>
      <c r="S71" s="24"/>
      <c r="T71" s="12"/>
    </row>
    <row r="72" outlineLevel="1" hidden="0">
      <c r="A72" s="7" t="s">
        <v>15</v>
      </c>
      <c r="B72" t="s">
        <v>75</v>
      </c>
      <c r="C72" s="24" t="n">
        <v>0.74739133702807</v>
      </c>
      <c r="D72" t="n">
        <v>6</v>
      </c>
      <c r="E72" s="24" t="n">
        <v>0.0720748291886787</v>
      </c>
      <c r="F72" t="n">
        <v>5</v>
      </c>
      <c r="G72" s="24"/>
      <c r="H72"/>
      <c r="I72" s="24" t="n">
        <v>1</v>
      </c>
      <c r="J72" t="n">
        <v>3</v>
      </c>
      <c r="K72" s="24" t="n">
        <v>0.167837151470914</v>
      </c>
      <c r="L72" t="n">
        <v>3</v>
      </c>
      <c r="M72" s="24"/>
      <c r="N72"/>
      <c r="O72" s="24" t="n">
        <v>0.627994451286761</v>
      </c>
      <c r="P72" t="n">
        <v>3</v>
      </c>
      <c r="Q72" s="24"/>
      <c r="R72"/>
      <c r="S72" s="24"/>
      <c r="T72" s="12"/>
    </row>
    <row r="73" outlineLevel="1" hidden="0">
      <c r="A73" s="7" t="s">
        <v>15</v>
      </c>
      <c r="B73" t="s">
        <v>76</v>
      </c>
      <c r="C73" s="24" t="n">
        <v>0.532266763585762</v>
      </c>
      <c r="D73" t="n">
        <v>8</v>
      </c>
      <c r="E73" s="24" t="n">
        <v>0.102055706830926</v>
      </c>
      <c r="F73" t="n">
        <v>6</v>
      </c>
      <c r="G73" s="24"/>
      <c r="H73"/>
      <c r="I73" s="24" t="n">
        <v>0.327344153570217</v>
      </c>
      <c r="J73" t="n">
        <v>4</v>
      </c>
      <c r="K73" s="24" t="n">
        <v>0.238647420461577</v>
      </c>
      <c r="L73" t="n">
        <v>2</v>
      </c>
      <c r="M73" s="24"/>
      <c r="N73"/>
      <c r="O73" s="24" t="n">
        <v>1</v>
      </c>
      <c r="P73" t="n">
        <v>4</v>
      </c>
      <c r="Q73" s="24"/>
      <c r="R73"/>
      <c r="S73" s="24"/>
      <c r="T73" s="12"/>
    </row>
    <row r="74" outlineLevel="1" hidden="0">
      <c r="A74" s="7" t="s">
        <v>15</v>
      </c>
      <c r="B74" t="s">
        <v>77</v>
      </c>
      <c r="C74" s="24" t="n">
        <v>1</v>
      </c>
      <c r="D74" t="n">
        <v>1</v>
      </c>
      <c r="E74" s="24" t="n">
        <v>1</v>
      </c>
      <c r="F74" t="n">
        <v>1</v>
      </c>
      <c r="G74" s="24"/>
      <c r="H74"/>
      <c r="I74" s="24"/>
      <c r="J74"/>
      <c r="K74" s="24"/>
      <c r="L74"/>
      <c r="M74" s="24"/>
      <c r="N74"/>
      <c r="O74" s="24" t="n">
        <v>1</v>
      </c>
      <c r="P74" t="n">
        <v>1</v>
      </c>
      <c r="Q74" s="24" t="n">
        <v>1</v>
      </c>
      <c r="R74" t="n">
        <v>1</v>
      </c>
      <c r="S74" s="24"/>
      <c r="T74" s="12"/>
    </row>
    <row r="75" outlineLevel="1" hidden="0">
      <c r="A75" s="7" t="s">
        <v>15</v>
      </c>
      <c r="B75" t="s">
        <v>78</v>
      </c>
      <c r="C75" s="24" t="n">
        <v>0.85000308096037</v>
      </c>
      <c r="D75" t="n">
        <v>48</v>
      </c>
      <c r="E75" s="24" t="n">
        <v>0.254865075911216</v>
      </c>
      <c r="F75" t="n">
        <v>43</v>
      </c>
      <c r="G75" s="24" t="n">
        <v>0.0113311243962415</v>
      </c>
      <c r="H75" t="n">
        <v>43</v>
      </c>
      <c r="I75" s="24" t="n">
        <v>0.994372558707946</v>
      </c>
      <c r="J75" t="n">
        <v>24</v>
      </c>
      <c r="K75" s="24" t="n">
        <v>0.162920028150884</v>
      </c>
      <c r="L75" t="n">
        <v>23</v>
      </c>
      <c r="M75" s="24" t="n">
        <v>0.0179672350699494</v>
      </c>
      <c r="N75" t="n">
        <v>23</v>
      </c>
      <c r="O75" s="24" t="n">
        <v>0.68114395143692</v>
      </c>
      <c r="P75" t="n">
        <v>24</v>
      </c>
      <c r="Q75" s="24" t="n">
        <v>0.411860765859309</v>
      </c>
      <c r="R75" t="n">
        <v>20</v>
      </c>
      <c r="S75" s="24"/>
      <c r="T75" s="12"/>
    </row>
    <row r="76" outlineLevel="1" hidden="0">
      <c r="A76" s="7" t="s">
        <v>15</v>
      </c>
      <c r="B76" t="s">
        <v>79</v>
      </c>
      <c r="C76" s="24" t="n">
        <v>1</v>
      </c>
      <c r="D76" t="n">
        <v>2</v>
      </c>
      <c r="E76" s="24"/>
      <c r="F76"/>
      <c r="G76" s="24"/>
      <c r="H76"/>
      <c r="I76" s="24" t="n">
        <v>1</v>
      </c>
      <c r="J76" t="n">
        <v>2</v>
      </c>
      <c r="K76" s="24"/>
      <c r="L76"/>
      <c r="M76" s="24"/>
      <c r="N76"/>
      <c r="O76" s="24"/>
      <c r="P76"/>
      <c r="Q76" s="24"/>
      <c r="R76"/>
      <c r="S76" s="24"/>
      <c r="T76" s="12"/>
    </row>
    <row r="77" outlineLevel="1" hidden="0">
      <c r="A77" s="7" t="s">
        <v>15</v>
      </c>
      <c r="B77" t="s">
        <v>80</v>
      </c>
      <c r="C77" s="24" t="n">
        <v>1</v>
      </c>
      <c r="D77" t="n">
        <v>2</v>
      </c>
      <c r="E77" s="24"/>
      <c r="F77"/>
      <c r="G77" s="24"/>
      <c r="H77"/>
      <c r="I77" s="24"/>
      <c r="J77"/>
      <c r="K77" s="24"/>
      <c r="L77"/>
      <c r="M77" s="24"/>
      <c r="N77"/>
      <c r="O77" s="24" t="n">
        <v>1</v>
      </c>
      <c r="P77" t="n">
        <v>2</v>
      </c>
      <c r="Q77" s="24"/>
      <c r="R77"/>
      <c r="S77" s="24"/>
      <c r="T77" s="12"/>
    </row>
    <row r="78" outlineLevel="1" hidden="0">
      <c r="A78" s="7" t="s">
        <v>15</v>
      </c>
      <c r="B78" t="s">
        <v>81</v>
      </c>
      <c r="C78" s="24" t="n">
        <v>0.891598590388282</v>
      </c>
      <c r="D78" t="n">
        <v>22</v>
      </c>
      <c r="E78" s="24" t="n">
        <v>0.236109772699102</v>
      </c>
      <c r="F78" t="n">
        <v>18</v>
      </c>
      <c r="G78" s="24"/>
      <c r="H78"/>
      <c r="I78" s="24" t="n">
        <v>0.834720562049417</v>
      </c>
      <c r="J78" t="n">
        <v>11</v>
      </c>
      <c r="K78" s="24" t="n">
        <v>0.143648867780901</v>
      </c>
      <c r="L78" t="n">
        <v>9</v>
      </c>
      <c r="M78" s="24"/>
      <c r="N78"/>
      <c r="O78" s="24" t="n">
        <v>0.949669659800214</v>
      </c>
      <c r="P78" t="n">
        <v>11</v>
      </c>
      <c r="Q78" s="24" t="n">
        <v>0.319083763464211</v>
      </c>
      <c r="R78" t="n">
        <v>9</v>
      </c>
      <c r="S78" s="24"/>
      <c r="T78" s="12"/>
    </row>
    <row r="79" outlineLevel="1" hidden="0">
      <c r="A79" s="7" t="s">
        <v>15</v>
      </c>
      <c r="B79" t="s">
        <v>82</v>
      </c>
      <c r="C79" s="24" t="n">
        <v>0.760965151419511</v>
      </c>
      <c r="D79" t="n">
        <v>32</v>
      </c>
      <c r="E79" s="24" t="n">
        <v>0.21775289138738</v>
      </c>
      <c r="F79" t="n">
        <v>26</v>
      </c>
      <c r="G79" s="24" t="n">
        <v>0.0621389626445376</v>
      </c>
      <c r="H79" t="n">
        <v>26</v>
      </c>
      <c r="I79" s="24" t="n">
        <v>0.90024095992907</v>
      </c>
      <c r="J79" t="n">
        <v>17</v>
      </c>
      <c r="K79" s="24" t="n">
        <v>0.110813709341541</v>
      </c>
      <c r="L79" t="n">
        <v>16</v>
      </c>
      <c r="M79" s="24" t="n">
        <v>0.110813709341541</v>
      </c>
      <c r="N79" t="n">
        <v>16</v>
      </c>
      <c r="O79" s="24" t="n">
        <v>0.635459062597547</v>
      </c>
      <c r="P79" t="n">
        <v>15</v>
      </c>
      <c r="Q79" s="24" t="n">
        <v>0.354273167080829</v>
      </c>
      <c r="R79" t="n">
        <v>10</v>
      </c>
      <c r="S79" s="24"/>
      <c r="T79" s="12"/>
    </row>
    <row r="80" outlineLevel="1" hidden="0">
      <c r="A80" s="7" t="s">
        <v>15</v>
      </c>
      <c r="B80" t="s">
        <v>83</v>
      </c>
      <c r="C80" s="24" t="n">
        <v>1</v>
      </c>
      <c r="D80" t="n">
        <v>6</v>
      </c>
      <c r="E80" s="24" t="n">
        <v>0.0957605262842517</v>
      </c>
      <c r="F80" t="n">
        <v>6</v>
      </c>
      <c r="G80" s="24" t="n">
        <v>0.0957605262842517</v>
      </c>
      <c r="H80" t="n">
        <v>6</v>
      </c>
      <c r="I80" s="24" t="n">
        <v>1</v>
      </c>
      <c r="J80" t="n">
        <v>2</v>
      </c>
      <c r="K80" s="24"/>
      <c r="L80"/>
      <c r="M80" s="24"/>
      <c r="N80"/>
      <c r="O80" s="24" t="n">
        <v>1</v>
      </c>
      <c r="P80" t="n">
        <v>4</v>
      </c>
      <c r="Q80" s="24" t="n">
        <v>0.143640789426377</v>
      </c>
      <c r="R80" t="n">
        <v>4</v>
      </c>
      <c r="S80" s="24" t="n">
        <v>0.143640789426377</v>
      </c>
      <c r="T80" s="12" t="n">
        <v>4</v>
      </c>
    </row>
    <row r="81" outlineLevel="1" hidden="0">
      <c r="A81" s="7" t="s">
        <v>15</v>
      </c>
      <c r="B81" t="s">
        <v>84</v>
      </c>
      <c r="C81" s="24" t="n">
        <v>1</v>
      </c>
      <c r="D81" t="n">
        <v>3</v>
      </c>
      <c r="E81" s="24"/>
      <c r="F81"/>
      <c r="G81" s="24" t="n">
        <v>0.333333333333333</v>
      </c>
      <c r="H81" t="n">
        <v>3</v>
      </c>
      <c r="I81" s="24" t="n">
        <v>1</v>
      </c>
      <c r="J81" t="n">
        <v>2</v>
      </c>
      <c r="K81" s="24"/>
      <c r="L81"/>
      <c r="M81" s="24"/>
      <c r="N81"/>
      <c r="O81" s="24" t="n">
        <v>1</v>
      </c>
      <c r="P81" t="n">
        <v>1</v>
      </c>
      <c r="Q81" s="24"/>
      <c r="R81"/>
      <c r="S81" s="24" t="n">
        <v>1</v>
      </c>
      <c r="T81" s="12" t="n">
        <v>1</v>
      </c>
    </row>
    <row r="82" outlineLevel="1" hidden="0">
      <c r="A82" s="7" t="s">
        <v>15</v>
      </c>
      <c r="B82" t="s">
        <v>85</v>
      </c>
      <c r="C82" s="24" t="n">
        <v>1</v>
      </c>
      <c r="D82" t="n">
        <v>2</v>
      </c>
      <c r="E82" s="24"/>
      <c r="F82"/>
      <c r="G82" s="24"/>
      <c r="H82"/>
      <c r="I82" s="24"/>
      <c r="J82"/>
      <c r="K82" s="24"/>
      <c r="L82"/>
      <c r="M82" s="24"/>
      <c r="N82"/>
      <c r="O82" s="24" t="n">
        <v>1</v>
      </c>
      <c r="P82" t="n">
        <v>2</v>
      </c>
      <c r="Q82" s="24"/>
      <c r="R82"/>
      <c r="S82" s="24"/>
      <c r="T82" s="12"/>
    </row>
    <row r="83" outlineLevel="1" hidden="0">
      <c r="A83" s="7" t="s">
        <v>15</v>
      </c>
      <c r="B83" t="s">
        <v>86</v>
      </c>
      <c r="C83" s="24" t="n">
        <v>0.58606171073643</v>
      </c>
      <c r="D83" t="n">
        <v>94</v>
      </c>
      <c r="E83" s="24" t="n">
        <v>0.12945827631822</v>
      </c>
      <c r="F83" t="n">
        <v>54</v>
      </c>
      <c r="G83" s="24" t="n">
        <v>0.0937946723473558</v>
      </c>
      <c r="H83" t="n">
        <v>54</v>
      </c>
      <c r="I83" s="24" t="n">
        <v>0.642270637246669</v>
      </c>
      <c r="J83" t="n">
        <v>50</v>
      </c>
      <c r="K83" s="24" t="n">
        <v>0.0831551622465895</v>
      </c>
      <c r="L83" t="n">
        <v>32</v>
      </c>
      <c r="M83" s="24" t="n">
        <v>0.113156510775357</v>
      </c>
      <c r="N83" t="n">
        <v>32</v>
      </c>
      <c r="O83" s="24" t="n">
        <v>0.521476971987587</v>
      </c>
      <c r="P83" t="n">
        <v>44</v>
      </c>
      <c r="Q83" s="24" t="n">
        <v>0.194984893613234</v>
      </c>
      <c r="R83" t="n">
        <v>22</v>
      </c>
      <c r="S83" s="24" t="n">
        <v>0.0663944466338802</v>
      </c>
      <c r="T83" s="12" t="n">
        <v>22</v>
      </c>
    </row>
    <row r="84" outlineLevel="1" hidden="0">
      <c r="A84" s="7" t="s">
        <v>15</v>
      </c>
      <c r="B84" t="s">
        <v>87</v>
      </c>
      <c r="C84" s="24" t="n">
        <v>0.725739596052721</v>
      </c>
      <c r="D84" t="n">
        <v>72</v>
      </c>
      <c r="E84" s="24" t="n">
        <v>0.147877663819142</v>
      </c>
      <c r="F84" t="n">
        <v>51</v>
      </c>
      <c r="G84" s="24" t="n">
        <v>0.0086452641129225</v>
      </c>
      <c r="H84" t="n">
        <v>51</v>
      </c>
      <c r="I84" s="24" t="n">
        <v>0.725161771373728</v>
      </c>
      <c r="J84" t="n">
        <v>39</v>
      </c>
      <c r="K84" s="24" t="n">
        <v>0.254732850136283</v>
      </c>
      <c r="L84" t="n">
        <v>28</v>
      </c>
      <c r="M84" s="24" t="n">
        <v>0.0181888751483734</v>
      </c>
      <c r="N84" t="n">
        <v>28</v>
      </c>
      <c r="O84" s="24" t="n">
        <v>0.726257557115737</v>
      </c>
      <c r="P84" t="n">
        <v>33</v>
      </c>
      <c r="Q84" s="24" t="n">
        <v>0.05108083250281</v>
      </c>
      <c r="R84" t="n">
        <v>23</v>
      </c>
      <c r="S84" s="24"/>
      <c r="T84" s="12"/>
    </row>
    <row r="85" outlineLevel="1" hidden="0">
      <c r="A85" s="7" t="s">
        <v>15</v>
      </c>
      <c r="B85" t="s">
        <v>88</v>
      </c>
      <c r="C85" s="24" t="n">
        <v>1</v>
      </c>
      <c r="D85" t="n">
        <v>1</v>
      </c>
      <c r="E85" s="24"/>
      <c r="F85"/>
      <c r="G85" s="24"/>
      <c r="H85"/>
      <c r="I85" s="24" t="n">
        <v>1</v>
      </c>
      <c r="J85" t="n">
        <v>1</v>
      </c>
      <c r="K85" s="24"/>
      <c r="L85"/>
      <c r="M85" s="24"/>
      <c r="N85"/>
      <c r="O85" s="24"/>
      <c r="P85"/>
      <c r="Q85" s="24"/>
      <c r="R85"/>
      <c r="S85" s="24"/>
      <c r="T85" s="12"/>
    </row>
    <row r="86" outlineLevel="1" hidden="0">
      <c r="A86" s="7" t="s">
        <v>15</v>
      </c>
      <c r="B86" t="s">
        <v>89</v>
      </c>
      <c r="C86" s="24" t="n">
        <v>0.861431449889892</v>
      </c>
      <c r="D86" t="n">
        <v>1044</v>
      </c>
      <c r="E86" s="24" t="n">
        <v>0.0917087220577376</v>
      </c>
      <c r="F86" t="n">
        <v>901</v>
      </c>
      <c r="G86" s="24" t="n">
        <v>0.0339079268930061</v>
      </c>
      <c r="H86" t="n">
        <v>901</v>
      </c>
      <c r="I86" s="24" t="n">
        <v>0.882298692336679</v>
      </c>
      <c r="J86" t="n">
        <v>557</v>
      </c>
      <c r="K86" s="24" t="n">
        <v>0.0770669889963251</v>
      </c>
      <c r="L86" t="n">
        <v>491</v>
      </c>
      <c r="M86" s="24" t="n">
        <v>0.0229310349288317</v>
      </c>
      <c r="N86" t="n">
        <v>491</v>
      </c>
      <c r="O86" s="24" t="n">
        <v>0.838133031680611</v>
      </c>
      <c r="P86" t="n">
        <v>487</v>
      </c>
      <c r="Q86" s="24" t="n">
        <v>0.108951121656071</v>
      </c>
      <c r="R86" t="n">
        <v>410</v>
      </c>
      <c r="S86" s="24" t="n">
        <v>0.0468345358401967</v>
      </c>
      <c r="T86" s="12" t="n">
        <v>410</v>
      </c>
    </row>
    <row r="87" outlineLevel="1" hidden="0">
      <c r="A87" s="7" t="s">
        <v>15</v>
      </c>
      <c r="B87" t="s">
        <v>90</v>
      </c>
      <c r="C87" s="24" t="n">
        <v>0.910792515420675</v>
      </c>
      <c r="D87" t="n">
        <v>75</v>
      </c>
      <c r="E87" s="24" t="n">
        <v>0.117945071289068</v>
      </c>
      <c r="F87" t="n">
        <v>67</v>
      </c>
      <c r="G87" s="24"/>
      <c r="H87"/>
      <c r="I87" s="24" t="n">
        <v>0.905301866251706</v>
      </c>
      <c r="J87" t="n">
        <v>43</v>
      </c>
      <c r="K87" s="24" t="n">
        <v>0.0807302835072601</v>
      </c>
      <c r="L87" t="n">
        <v>38</v>
      </c>
      <c r="M87" s="24"/>
      <c r="N87"/>
      <c r="O87" s="24" t="n">
        <v>0.917510395776602</v>
      </c>
      <c r="P87" t="n">
        <v>32</v>
      </c>
      <c r="Q87" s="24" t="n">
        <v>0.16136058167005</v>
      </c>
      <c r="R87" t="n">
        <v>29</v>
      </c>
      <c r="S87" s="24"/>
      <c r="T87" s="12"/>
    </row>
    <row r="88" outlineLevel="1" hidden="0">
      <c r="A88" s="7" t="s">
        <v>15</v>
      </c>
      <c r="B88" t="s">
        <v>91</v>
      </c>
      <c r="C88" s="24" t="n">
        <v>0.944914943907913</v>
      </c>
      <c r="D88" t="n">
        <v>9</v>
      </c>
      <c r="E88" s="24"/>
      <c r="F88"/>
      <c r="G88" s="24"/>
      <c r="H88"/>
      <c r="I88" s="24" t="n">
        <v>0.934009706920453</v>
      </c>
      <c r="J88" t="n">
        <v>6</v>
      </c>
      <c r="K88" s="24"/>
      <c r="L88"/>
      <c r="M88" s="24"/>
      <c r="N88"/>
      <c r="O88" s="24" t="n">
        <v>1</v>
      </c>
      <c r="P88" t="n">
        <v>3</v>
      </c>
      <c r="Q88" s="24"/>
      <c r="R88"/>
      <c r="S88" s="24"/>
      <c r="T88" s="12"/>
    </row>
    <row r="89" outlineLevel="1" hidden="0">
      <c r="A89" s="7" t="s">
        <v>15</v>
      </c>
      <c r="B89" t="s">
        <v>92</v>
      </c>
      <c r="C89" s="24" t="n">
        <v>1</v>
      </c>
      <c r="D89" t="n">
        <v>6</v>
      </c>
      <c r="E89" s="24"/>
      <c r="F89"/>
      <c r="G89" s="24"/>
      <c r="H89"/>
      <c r="I89" s="24" t="n">
        <v>1</v>
      </c>
      <c r="J89" t="n">
        <v>2</v>
      </c>
      <c r="K89" s="24"/>
      <c r="L89"/>
      <c r="M89" s="24"/>
      <c r="N89"/>
      <c r="O89" s="24" t="n">
        <v>1</v>
      </c>
      <c r="P89" t="n">
        <v>4</v>
      </c>
      <c r="Q89" s="24"/>
      <c r="R89"/>
      <c r="S89" s="24"/>
      <c r="T89" s="12"/>
    </row>
    <row r="90" outlineLevel="1" hidden="0">
      <c r="A90" s="7" t="s">
        <v>15</v>
      </c>
      <c r="B90" t="s">
        <v>93</v>
      </c>
      <c r="C90" s="24" t="n">
        <v>1</v>
      </c>
      <c r="D90" t="n">
        <v>3</v>
      </c>
      <c r="E90" s="24"/>
      <c r="F90"/>
      <c r="G90" s="24"/>
      <c r="H90"/>
      <c r="I90" s="24" t="n">
        <v>1</v>
      </c>
      <c r="J90" t="n">
        <v>1</v>
      </c>
      <c r="K90" s="24"/>
      <c r="L90"/>
      <c r="M90" s="24"/>
      <c r="N90"/>
      <c r="O90" s="24" t="n">
        <v>1</v>
      </c>
      <c r="P90" t="n">
        <v>2</v>
      </c>
      <c r="Q90" s="24"/>
      <c r="R90"/>
      <c r="S90" s="24"/>
      <c r="T90" s="12"/>
    </row>
    <row r="91" outlineLevel="1" hidden="0">
      <c r="A91" s="7" t="s">
        <v>15</v>
      </c>
      <c r="B91" t="s">
        <v>94</v>
      </c>
      <c r="C91" s="24" t="n">
        <v>1</v>
      </c>
      <c r="D91" t="n">
        <v>1</v>
      </c>
      <c r="E91" s="24"/>
      <c r="F91"/>
      <c r="G91" s="24"/>
      <c r="H91"/>
      <c r="I91" s="24" t="n">
        <v>1</v>
      </c>
      <c r="J91" t="n">
        <v>1</v>
      </c>
      <c r="K91" s="24"/>
      <c r="L91"/>
      <c r="M91" s="24"/>
      <c r="N91"/>
      <c r="O91" s="24"/>
      <c r="P91"/>
      <c r="Q91" s="24"/>
      <c r="R91"/>
      <c r="S91" s="24"/>
      <c r="T91" s="12"/>
    </row>
    <row r="92" outlineLevel="1" hidden="0">
      <c r="A92" s="7" t="s">
        <v>15</v>
      </c>
      <c r="B92" t="s">
        <v>95</v>
      </c>
      <c r="C92" s="24" t="n">
        <v>0.621243581758118</v>
      </c>
      <c r="D92" t="n">
        <v>12</v>
      </c>
      <c r="E92" s="24"/>
      <c r="F92"/>
      <c r="G92" s="24"/>
      <c r="H92"/>
      <c r="I92" s="24" t="n">
        <v>1</v>
      </c>
      <c r="J92" t="n">
        <v>3</v>
      </c>
      <c r="K92" s="24"/>
      <c r="L92"/>
      <c r="M92" s="24"/>
      <c r="N92"/>
      <c r="O92" s="24" t="n">
        <v>0.482812640675483</v>
      </c>
      <c r="P92" t="n">
        <v>9</v>
      </c>
      <c r="Q92" s="24"/>
      <c r="R92"/>
      <c r="S92" s="24"/>
      <c r="T92" s="12"/>
    </row>
    <row r="93" outlineLevel="1" hidden="0">
      <c r="A93" s="7" t="s">
        <v>15</v>
      </c>
      <c r="B93" t="s">
        <v>96</v>
      </c>
      <c r="C93" s="24" t="n">
        <v>0.859727203781976</v>
      </c>
      <c r="D93" t="n">
        <v>132</v>
      </c>
      <c r="E93" s="24" t="n">
        <v>0.189513237126372</v>
      </c>
      <c r="F93" t="n">
        <v>115</v>
      </c>
      <c r="G93" s="24" t="n">
        <v>0.055037834781625</v>
      </c>
      <c r="H93" t="n">
        <v>115</v>
      </c>
      <c r="I93" s="24" t="n">
        <v>0.84434615424084</v>
      </c>
      <c r="J93" t="n">
        <v>59</v>
      </c>
      <c r="K93" s="24" t="n">
        <v>0.159136240664867</v>
      </c>
      <c r="L93" t="n">
        <v>51</v>
      </c>
      <c r="M93" s="24" t="n">
        <v>0.0950511679120122</v>
      </c>
      <c r="N93" t="n">
        <v>51</v>
      </c>
      <c r="O93" s="24" t="n">
        <v>0.869687884788004</v>
      </c>
      <c r="P93" t="n">
        <v>73</v>
      </c>
      <c r="Q93" s="24" t="n">
        <v>0.208611989636188</v>
      </c>
      <c r="R93" t="n">
        <v>64</v>
      </c>
      <c r="S93" s="24" t="n">
        <v>0.0298804843003648</v>
      </c>
      <c r="T93" s="12" t="n">
        <v>64</v>
      </c>
    </row>
    <row r="94" outlineLevel="1" hidden="0">
      <c r="A94" s="7" t="s">
        <v>15</v>
      </c>
      <c r="B94" t="s">
        <v>97</v>
      </c>
      <c r="C94" s="24" t="n">
        <v>1</v>
      </c>
      <c r="D94" t="n">
        <v>2</v>
      </c>
      <c r="E94" s="24"/>
      <c r="F94"/>
      <c r="G94" s="24"/>
      <c r="H94"/>
      <c r="I94" s="24"/>
      <c r="J94"/>
      <c r="K94" s="24"/>
      <c r="L94"/>
      <c r="M94" s="24"/>
      <c r="N94"/>
      <c r="O94" s="24" t="n">
        <v>1</v>
      </c>
      <c r="P94" t="n">
        <v>2</v>
      </c>
      <c r="Q94" s="24"/>
      <c r="R94"/>
      <c r="S94" s="24"/>
      <c r="T94" s="12"/>
    </row>
    <row r="95" outlineLevel="1" hidden="0">
      <c r="A95" s="7" t="s">
        <v>15</v>
      </c>
      <c r="B95" t="s">
        <v>98</v>
      </c>
      <c r="C95" s="24" t="n">
        <v>1</v>
      </c>
      <c r="D95" t="n">
        <v>8</v>
      </c>
      <c r="E95" s="24" t="n">
        <v>0.166879643461209</v>
      </c>
      <c r="F95" t="n">
        <v>8</v>
      </c>
      <c r="G95" s="24"/>
      <c r="H95"/>
      <c r="I95" s="24" t="n">
        <v>1</v>
      </c>
      <c r="J95" t="n">
        <v>3</v>
      </c>
      <c r="K95" s="24"/>
      <c r="L95"/>
      <c r="M95" s="24"/>
      <c r="N95"/>
      <c r="O95" s="24" t="n">
        <v>1</v>
      </c>
      <c r="P95" t="n">
        <v>5</v>
      </c>
      <c r="Q95" s="24" t="n">
        <v>0.257042243524207</v>
      </c>
      <c r="R95" t="n">
        <v>5</v>
      </c>
      <c r="S95" s="24"/>
      <c r="T95" s="12"/>
    </row>
    <row r="96" outlineLevel="1" hidden="0">
      <c r="A96" s="7" t="s">
        <v>15</v>
      </c>
      <c r="B96" t="s">
        <v>99</v>
      </c>
      <c r="C96" s="24" t="n">
        <v>1</v>
      </c>
      <c r="D96" t="n">
        <v>1</v>
      </c>
      <c r="E96" s="24"/>
      <c r="F96"/>
      <c r="G96" s="24"/>
      <c r="H96"/>
      <c r="I96" s="24" t="n">
        <v>1</v>
      </c>
      <c r="J96" t="n">
        <v>1</v>
      </c>
      <c r="K96" s="24"/>
      <c r="L96"/>
      <c r="M96" s="24"/>
      <c r="N96"/>
      <c r="O96" s="24"/>
      <c r="P96"/>
      <c r="Q96" s="24"/>
      <c r="R96"/>
      <c r="S96" s="24"/>
      <c r="T96" s="12"/>
    </row>
    <row r="97" outlineLevel="1" hidden="0">
      <c r="A97" s="7" t="s">
        <v>15</v>
      </c>
      <c r="B97" t="s">
        <v>100</v>
      </c>
      <c r="C97" s="24" t="n">
        <v>1</v>
      </c>
      <c r="D97" t="n">
        <v>44</v>
      </c>
      <c r="E97" s="24" t="n">
        <v>0.04505948020969</v>
      </c>
      <c r="F97" t="n">
        <v>44</v>
      </c>
      <c r="G97" s="24" t="n">
        <v>0.0081625134193695</v>
      </c>
      <c r="H97" t="n">
        <v>44</v>
      </c>
      <c r="I97" s="24" t="n">
        <v>1</v>
      </c>
      <c r="J97" t="n">
        <v>23</v>
      </c>
      <c r="K97" s="24" t="n">
        <v>0.0206660136335169</v>
      </c>
      <c r="L97" t="n">
        <v>23</v>
      </c>
      <c r="M97" s="24" t="n">
        <v>0.0154272747566085</v>
      </c>
      <c r="N97" t="n">
        <v>23</v>
      </c>
      <c r="O97" s="24" t="n">
        <v>1</v>
      </c>
      <c r="P97" t="n">
        <v>21</v>
      </c>
      <c r="Q97" s="24" t="n">
        <v>0.0724674003091859</v>
      </c>
      <c r="R97" t="n">
        <v>21</v>
      </c>
      <c r="S97" s="24"/>
      <c r="T97" s="12"/>
    </row>
    <row r="98" outlineLevel="1" hidden="0">
      <c r="A98" s="7" t="s">
        <v>15</v>
      </c>
      <c r="B98" t="s">
        <v>101</v>
      </c>
      <c r="C98" s="24" t="n">
        <v>1</v>
      </c>
      <c r="D98" t="n">
        <v>2</v>
      </c>
      <c r="E98" s="24"/>
      <c r="F98"/>
      <c r="G98" s="24"/>
      <c r="H98"/>
      <c r="I98" s="24" t="n">
        <v>1</v>
      </c>
      <c r="J98" t="n">
        <v>1</v>
      </c>
      <c r="K98" s="24"/>
      <c r="L98"/>
      <c r="M98" s="24"/>
      <c r="N98"/>
      <c r="O98" s="24" t="n">
        <v>1</v>
      </c>
      <c r="P98" t="n">
        <v>1</v>
      </c>
      <c r="Q98" s="24"/>
      <c r="R98"/>
      <c r="S98" s="24"/>
      <c r="T98" s="12"/>
    </row>
    <row r="99" outlineLevel="1" hidden="0">
      <c r="A99" s="7" t="s">
        <v>15</v>
      </c>
      <c r="B99" t="s">
        <v>102</v>
      </c>
      <c r="C99" s="24" t="n">
        <v>1</v>
      </c>
      <c r="D99" t="n">
        <v>2</v>
      </c>
      <c r="E99" s="24"/>
      <c r="F99"/>
      <c r="G99" s="24"/>
      <c r="H99"/>
      <c r="I99" s="24" t="n">
        <v>1</v>
      </c>
      <c r="J99" t="n">
        <v>1</v>
      </c>
      <c r="K99" s="24"/>
      <c r="L99"/>
      <c r="M99" s="24"/>
      <c r="N99"/>
      <c r="O99" s="24" t="n">
        <v>1</v>
      </c>
      <c r="P99" t="n">
        <v>1</v>
      </c>
      <c r="Q99" s="24"/>
      <c r="R99"/>
      <c r="S99" s="24"/>
      <c r="T99" s="12"/>
    </row>
    <row r="100" outlineLevel="1" hidden="0">
      <c r="A100" s="7" t="s">
        <v>15</v>
      </c>
      <c r="B100" t="s">
        <v>103</v>
      </c>
      <c r="C100" s="24" t="n">
        <v>1</v>
      </c>
      <c r="D100" t="n">
        <v>6</v>
      </c>
      <c r="E100" s="24" t="n">
        <v>0.19442093360444</v>
      </c>
      <c r="F100" t="n">
        <v>6</v>
      </c>
      <c r="G100" s="24"/>
      <c r="H100"/>
      <c r="I100" s="24" t="n">
        <v>1</v>
      </c>
      <c r="J100" t="n">
        <v>3</v>
      </c>
      <c r="K100" s="24"/>
      <c r="L100"/>
      <c r="M100" s="24"/>
      <c r="N100"/>
      <c r="O100" s="24" t="n">
        <v>1</v>
      </c>
      <c r="P100" t="n">
        <v>3</v>
      </c>
      <c r="Q100" s="24" t="n">
        <v>0.333333333333333</v>
      </c>
      <c r="R100" t="n">
        <v>3</v>
      </c>
      <c r="S100" s="24"/>
      <c r="T100" s="12"/>
    </row>
    <row r="101" outlineLevel="1" hidden="0">
      <c r="A101" s="7" t="s">
        <v>15</v>
      </c>
      <c r="B101" t="s">
        <v>104</v>
      </c>
      <c r="C101" s="24" t="n">
        <v>0.83780053760164</v>
      </c>
      <c r="D101" t="n">
        <v>26</v>
      </c>
      <c r="E101" s="24" t="n">
        <v>0.0209970293526984</v>
      </c>
      <c r="F101" t="n">
        <v>23</v>
      </c>
      <c r="G101" s="24"/>
      <c r="H101"/>
      <c r="I101" s="24" t="n">
        <v>1</v>
      </c>
      <c r="J101" t="n">
        <v>14</v>
      </c>
      <c r="K101" s="24"/>
      <c r="L101"/>
      <c r="M101" s="24"/>
      <c r="N101"/>
      <c r="O101" s="24" t="n">
        <v>0.704296266424309</v>
      </c>
      <c r="P101" t="n">
        <v>12</v>
      </c>
      <c r="Q101" s="24" t="n">
        <v>0.0455355410793827</v>
      </c>
      <c r="R101" t="n">
        <v>9</v>
      </c>
      <c r="S101" s="24"/>
      <c r="T101" s="12"/>
    </row>
    <row r="102" outlineLevel="1" hidden="0">
      <c r="A102" s="7" t="s">
        <v>15</v>
      </c>
      <c r="B102" t="s">
        <v>105</v>
      </c>
      <c r="C102" s="24" t="n">
        <v>1</v>
      </c>
      <c r="D102" t="n">
        <v>2</v>
      </c>
      <c r="E102" s="24"/>
      <c r="F102"/>
      <c r="G102" s="24"/>
      <c r="H102"/>
      <c r="I102" s="24" t="n">
        <v>1</v>
      </c>
      <c r="J102" t="n">
        <v>1</v>
      </c>
      <c r="K102" s="24"/>
      <c r="L102"/>
      <c r="M102" s="24"/>
      <c r="N102"/>
      <c r="O102" s="24" t="n">
        <v>1</v>
      </c>
      <c r="P102" t="n">
        <v>1</v>
      </c>
      <c r="Q102" s="24"/>
      <c r="R102"/>
      <c r="S102" s="24"/>
      <c r="T102" s="12"/>
    </row>
    <row r="103" outlineLevel="1" hidden="0">
      <c r="A103" s="7" t="s">
        <v>15</v>
      </c>
      <c r="B103" t="s">
        <v>106</v>
      </c>
      <c r="C103" s="24" t="n">
        <v>0.790875927173411</v>
      </c>
      <c r="D103" t="n">
        <v>60</v>
      </c>
      <c r="E103" s="24" t="n">
        <v>0.107251086109728</v>
      </c>
      <c r="F103" t="n">
        <v>50</v>
      </c>
      <c r="G103" s="24"/>
      <c r="H103"/>
      <c r="I103" s="24" t="n">
        <v>0.840136058792986</v>
      </c>
      <c r="J103" t="n">
        <v>38</v>
      </c>
      <c r="K103" s="24" t="n">
        <v>0.155112293097781</v>
      </c>
      <c r="L103" t="n">
        <v>33</v>
      </c>
      <c r="M103" s="24"/>
      <c r="N103"/>
      <c r="O103" s="24" t="n">
        <v>0.699030017393303</v>
      </c>
      <c r="P103" t="n">
        <v>22</v>
      </c>
      <c r="Q103" s="24"/>
      <c r="R103"/>
      <c r="S103" s="24"/>
      <c r="T103" s="12"/>
    </row>
    <row r="104" outlineLevel="1" hidden="0">
      <c r="A104" s="7" t="s">
        <v>15</v>
      </c>
      <c r="B104" t="s">
        <v>107</v>
      </c>
      <c r="C104" s="24" t="n">
        <v>1</v>
      </c>
      <c r="D104" t="n">
        <v>1</v>
      </c>
      <c r="E104" s="24"/>
      <c r="F104"/>
      <c r="G104" s="24"/>
      <c r="H104"/>
      <c r="I104" s="24"/>
      <c r="J104"/>
      <c r="K104" s="24"/>
      <c r="L104"/>
      <c r="M104" s="24"/>
      <c r="N104"/>
      <c r="O104" s="24" t="n">
        <v>1</v>
      </c>
      <c r="P104" t="n">
        <v>1</v>
      </c>
      <c r="Q104" s="24"/>
      <c r="R104"/>
      <c r="S104" s="24"/>
      <c r="T104" s="12"/>
    </row>
    <row r="105" outlineLevel="1" hidden="0">
      <c r="A105" s="7" t="s">
        <v>15</v>
      </c>
      <c r="B105" t="s">
        <v>108</v>
      </c>
      <c r="C105" s="24" t="n">
        <v>1</v>
      </c>
      <c r="D105" t="n">
        <v>1</v>
      </c>
      <c r="E105" s="24"/>
      <c r="F105"/>
      <c r="G105" s="24"/>
      <c r="H105"/>
      <c r="I105" s="24"/>
      <c r="J105"/>
      <c r="K105" s="24"/>
      <c r="L105"/>
      <c r="M105" s="24"/>
      <c r="N105"/>
      <c r="O105" s="24" t="n">
        <v>1</v>
      </c>
      <c r="P105" t="n">
        <v>1</v>
      </c>
      <c r="Q105" s="24"/>
      <c r="R105"/>
      <c r="S105" s="24"/>
      <c r="T105" s="12"/>
    </row>
    <row r="106" outlineLevel="1" hidden="0">
      <c r="A106" s="7" t="s">
        <v>15</v>
      </c>
      <c r="B106" t="s">
        <v>109</v>
      </c>
      <c r="C106" s="24" t="n">
        <v>0.812076800947611</v>
      </c>
      <c r="D106" t="n">
        <v>681</v>
      </c>
      <c r="E106" s="24" t="n">
        <v>0.142888368916194</v>
      </c>
      <c r="F106" t="n">
        <v>554</v>
      </c>
      <c r="G106" s="24" t="n">
        <v>0.055340930307302</v>
      </c>
      <c r="H106" t="n">
        <v>554</v>
      </c>
      <c r="I106" s="24" t="n">
        <v>0.800327381213517</v>
      </c>
      <c r="J106" t="n">
        <v>321</v>
      </c>
      <c r="K106" s="24" t="n">
        <v>0.122928366803361</v>
      </c>
      <c r="L106" t="n">
        <v>259</v>
      </c>
      <c r="M106" s="24" t="n">
        <v>0.0473701422824388</v>
      </c>
      <c r="N106" t="n">
        <v>259</v>
      </c>
      <c r="O106" s="24" t="n">
        <v>0.82282060212318</v>
      </c>
      <c r="P106" t="n">
        <v>360</v>
      </c>
      <c r="Q106" s="24" t="n">
        <v>0.160788143747553</v>
      </c>
      <c r="R106" t="n">
        <v>295</v>
      </c>
      <c r="S106" s="24" t="n">
        <v>0.0624889912176673</v>
      </c>
      <c r="T106" s="12" t="n">
        <v>295</v>
      </c>
    </row>
    <row r="107" outlineLevel="1" hidden="0">
      <c r="A107" s="7" t="s">
        <v>15</v>
      </c>
      <c r="B107" t="s">
        <v>110</v>
      </c>
      <c r="C107" s="24" t="n">
        <v>0.948484479909553</v>
      </c>
      <c r="D107" t="n">
        <v>64</v>
      </c>
      <c r="E107" s="24" t="n">
        <v>0.231428693668858</v>
      </c>
      <c r="F107" t="n">
        <v>60</v>
      </c>
      <c r="G107" s="24" t="n">
        <v>0.0402153662990145</v>
      </c>
      <c r="H107" t="n">
        <v>60</v>
      </c>
      <c r="I107" s="24" t="n">
        <v>0.933348746979024</v>
      </c>
      <c r="J107" t="n">
        <v>32</v>
      </c>
      <c r="K107" s="24" t="n">
        <v>0.334902961971562</v>
      </c>
      <c r="L107" t="n">
        <v>29</v>
      </c>
      <c r="M107" s="24" t="n">
        <v>0.0694081671361046</v>
      </c>
      <c r="N107" t="n">
        <v>29</v>
      </c>
      <c r="O107" s="24" t="n">
        <v>0.960301626215722</v>
      </c>
      <c r="P107" t="n">
        <v>32</v>
      </c>
      <c r="Q107" s="24" t="n">
        <v>0.152909143122637</v>
      </c>
      <c r="R107" t="n">
        <v>31</v>
      </c>
      <c r="S107" s="24" t="n">
        <v>0.0180629448466781</v>
      </c>
      <c r="T107" s="12" t="n">
        <v>31</v>
      </c>
    </row>
    <row r="108" outlineLevel="1" hidden="0">
      <c r="A108" s="7" t="s">
        <v>15</v>
      </c>
      <c r="B108" t="s">
        <v>111</v>
      </c>
      <c r="C108" s="24" t="n">
        <v>1</v>
      </c>
      <c r="D108" t="n">
        <v>2</v>
      </c>
      <c r="E108" s="24"/>
      <c r="F108"/>
      <c r="G108" s="24"/>
      <c r="H108"/>
      <c r="I108" s="24" t="n">
        <v>1</v>
      </c>
      <c r="J108" t="n">
        <v>1</v>
      </c>
      <c r="K108" s="24"/>
      <c r="L108"/>
      <c r="M108" s="24"/>
      <c r="N108"/>
      <c r="O108" s="24" t="n">
        <v>1</v>
      </c>
      <c r="P108" t="n">
        <v>1</v>
      </c>
      <c r="Q108" s="24"/>
      <c r="R108"/>
      <c r="S108" s="24"/>
      <c r="T108" s="12"/>
    </row>
    <row r="109" outlineLevel="1" hidden="0">
      <c r="A109" s="7" t="s">
        <v>15</v>
      </c>
      <c r="B109" t="s">
        <v>112</v>
      </c>
      <c r="C109" s="24" t="n">
        <v>0.680752978212229</v>
      </c>
      <c r="D109" t="n">
        <v>8</v>
      </c>
      <c r="E109" s="24" t="n">
        <v>0.221055627031942</v>
      </c>
      <c r="F109" t="n">
        <v>5</v>
      </c>
      <c r="G109" s="24"/>
      <c r="H109"/>
      <c r="I109" s="24" t="n">
        <v>0.585769970873508</v>
      </c>
      <c r="J109" t="n">
        <v>6</v>
      </c>
      <c r="K109" s="24" t="n">
        <v>0.333333333333333</v>
      </c>
      <c r="L109" t="n">
        <v>3</v>
      </c>
      <c r="M109" s="24"/>
      <c r="N109"/>
      <c r="O109" s="24" t="n">
        <v>1</v>
      </c>
      <c r="P109" t="n">
        <v>2</v>
      </c>
      <c r="Q109" s="24"/>
      <c r="R109"/>
      <c r="S109" s="24"/>
      <c r="T109" s="12"/>
    </row>
    <row r="110" outlineLevel="1" hidden="0">
      <c r="A110" s="7" t="s">
        <v>15</v>
      </c>
      <c r="B110" t="s">
        <v>113</v>
      </c>
      <c r="C110" s="24" t="n">
        <v>0.901263140993072</v>
      </c>
      <c r="D110" t="n">
        <v>7</v>
      </c>
      <c r="E110" s="24" t="n">
        <v>0.219107726735907</v>
      </c>
      <c r="F110" t="n">
        <v>6</v>
      </c>
      <c r="G110" s="24"/>
      <c r="H110"/>
      <c r="I110" s="24" t="n">
        <v>1</v>
      </c>
      <c r="J110" t="n">
        <v>3</v>
      </c>
      <c r="K110" s="24" t="n">
        <v>0.333333333333333</v>
      </c>
      <c r="L110" t="n">
        <v>3</v>
      </c>
      <c r="M110" s="24"/>
      <c r="N110"/>
      <c r="O110" s="24" t="n">
        <v>0.859706816011864</v>
      </c>
      <c r="P110" t="n">
        <v>4</v>
      </c>
      <c r="Q110" s="24" t="n">
        <v>0.163187241714506</v>
      </c>
      <c r="R110" t="n">
        <v>3</v>
      </c>
      <c r="S110" s="24"/>
      <c r="T110" s="12"/>
    </row>
    <row r="111" outlineLevel="1" hidden="0">
      <c r="A111" s="7" t="s">
        <v>15</v>
      </c>
      <c r="B111" t="s">
        <v>114</v>
      </c>
      <c r="C111" s="24" t="n">
        <v>0.902930230896812</v>
      </c>
      <c r="D111" t="n">
        <v>80</v>
      </c>
      <c r="E111" s="24" t="n">
        <v>0.12485184452944</v>
      </c>
      <c r="F111" t="n">
        <v>74</v>
      </c>
      <c r="G111" s="24" t="n">
        <v>0.0405047012230567</v>
      </c>
      <c r="H111" t="n">
        <v>74</v>
      </c>
      <c r="I111" s="24" t="n">
        <v>0.895944770646761</v>
      </c>
      <c r="J111" t="n">
        <v>43</v>
      </c>
      <c r="K111" s="24" t="n">
        <v>0.138133840552596</v>
      </c>
      <c r="L111" t="n">
        <v>39</v>
      </c>
      <c r="M111" s="24" t="n">
        <v>0.0553498994843919</v>
      </c>
      <c r="N111" t="n">
        <v>39</v>
      </c>
      <c r="O111" s="24" t="n">
        <v>0.912188987045922</v>
      </c>
      <c r="P111" t="n">
        <v>37</v>
      </c>
      <c r="Q111" s="24" t="n">
        <v>0.107560953229809</v>
      </c>
      <c r="R111" t="n">
        <v>35</v>
      </c>
      <c r="S111" s="24" t="n">
        <v>0.0211787874815744</v>
      </c>
      <c r="T111" s="12" t="n">
        <v>35</v>
      </c>
    </row>
    <row r="112" outlineLevel="1" hidden="0">
      <c r="A112" s="7" t="s">
        <v>15</v>
      </c>
      <c r="B112" t="s">
        <v>115</v>
      </c>
      <c r="C112" s="24" t="n">
        <v>0.464929979126124</v>
      </c>
      <c r="D112" t="n">
        <v>5</v>
      </c>
      <c r="E112" s="24" t="n">
        <v>0.25</v>
      </c>
      <c r="F112" t="n">
        <v>4</v>
      </c>
      <c r="G112" s="24"/>
      <c r="H112"/>
      <c r="I112" s="24" t="n">
        <v>1</v>
      </c>
      <c r="J112" t="n">
        <v>2</v>
      </c>
      <c r="K112" s="24"/>
      <c r="L112"/>
      <c r="M112" s="24"/>
      <c r="N112"/>
      <c r="O112" s="24" t="n">
        <v>0.302872164008161</v>
      </c>
      <c r="P112" t="n">
        <v>3</v>
      </c>
      <c r="Q112" s="24" t="n">
        <v>0.5</v>
      </c>
      <c r="R112" t="n">
        <v>2</v>
      </c>
      <c r="S112" s="24"/>
      <c r="T112" s="12"/>
    </row>
    <row r="113" outlineLevel="1" hidden="0">
      <c r="A113" s="7" t="s">
        <v>15</v>
      </c>
      <c r="B113" t="s">
        <v>116</v>
      </c>
      <c r="C113" s="24" t="n">
        <v>0.883742554811508</v>
      </c>
      <c r="D113" t="n">
        <v>14</v>
      </c>
      <c r="E113" s="24"/>
      <c r="F113"/>
      <c r="G113" s="24"/>
      <c r="H113"/>
      <c r="I113" s="24" t="n">
        <v>1</v>
      </c>
      <c r="J113" t="n">
        <v>6</v>
      </c>
      <c r="K113" s="24"/>
      <c r="L113"/>
      <c r="M113" s="24"/>
      <c r="N113"/>
      <c r="O113" s="24" t="n">
        <v>0.7630836382675</v>
      </c>
      <c r="P113" t="n">
        <v>8</v>
      </c>
      <c r="Q113" s="24"/>
      <c r="R113"/>
      <c r="S113" s="24"/>
      <c r="T113" s="12"/>
    </row>
    <row r="114" outlineLevel="1" hidden="0">
      <c r="A114" s="7" t="s">
        <v>15</v>
      </c>
      <c r="B114" t="s">
        <v>117</v>
      </c>
      <c r="C114" s="24" t="n">
        <v>0.666666666666667</v>
      </c>
      <c r="D114" t="n">
        <v>3</v>
      </c>
      <c r="E114" s="24" t="n">
        <v>0.5</v>
      </c>
      <c r="F114" t="n">
        <v>2</v>
      </c>
      <c r="G114" s="24"/>
      <c r="H114"/>
      <c r="I114" s="24" t="n">
        <v>1</v>
      </c>
      <c r="J114" t="n">
        <v>1</v>
      </c>
      <c r="K114" s="24"/>
      <c r="L114"/>
      <c r="M114" s="24"/>
      <c r="N114"/>
      <c r="O114" s="24" t="n">
        <v>0.5</v>
      </c>
      <c r="P114" t="n">
        <v>2</v>
      </c>
      <c r="Q114" s="24" t="n">
        <v>1</v>
      </c>
      <c r="R114" t="n">
        <v>1</v>
      </c>
      <c r="S114" s="24"/>
      <c r="T114" s="12"/>
    </row>
    <row r="115" outlineLevel="1" hidden="0">
      <c r="A115" s="7" t="s">
        <v>15</v>
      </c>
      <c r="B115" t="s">
        <v>118</v>
      </c>
      <c r="C115" s="24" t="n">
        <v>1</v>
      </c>
      <c r="D115" t="n">
        <v>1</v>
      </c>
      <c r="E115" s="24"/>
      <c r="F115"/>
      <c r="G115" s="24"/>
      <c r="H115"/>
      <c r="I115" s="24"/>
      <c r="J115"/>
      <c r="K115" s="24"/>
      <c r="L115"/>
      <c r="M115" s="24"/>
      <c r="N115"/>
      <c r="O115" s="24" t="n">
        <v>1</v>
      </c>
      <c r="P115" t="n">
        <v>1</v>
      </c>
      <c r="Q115" s="24"/>
      <c r="R115"/>
      <c r="S115" s="24"/>
      <c r="T115" s="12"/>
    </row>
    <row r="116" outlineLevel="1" hidden="0">
      <c r="A116" s="7" t="s">
        <v>15</v>
      </c>
      <c r="B116" t="s">
        <v>119</v>
      </c>
      <c r="C116" s="24" t="n">
        <v>0.840230635289764</v>
      </c>
      <c r="D116" t="n">
        <v>68</v>
      </c>
      <c r="E116" s="24" t="n">
        <v>0.241434278575506</v>
      </c>
      <c r="F116" t="n">
        <v>57</v>
      </c>
      <c r="G116" s="24" t="n">
        <v>0.0602088825183938</v>
      </c>
      <c r="H116" t="n">
        <v>57</v>
      </c>
      <c r="I116" s="24" t="n">
        <v>0.959984635947032</v>
      </c>
      <c r="J116" t="n">
        <v>36</v>
      </c>
      <c r="K116" s="24" t="n">
        <v>0.157209118406312</v>
      </c>
      <c r="L116" t="n">
        <v>34</v>
      </c>
      <c r="M116" s="24" t="n">
        <v>0.0557966366470692</v>
      </c>
      <c r="N116" t="n">
        <v>34</v>
      </c>
      <c r="O116" s="24" t="n">
        <v>0.721613872263218</v>
      </c>
      <c r="P116" t="n">
        <v>32</v>
      </c>
      <c r="Q116" s="24" t="n">
        <v>0.352417491116597</v>
      </c>
      <c r="R116" t="n">
        <v>23</v>
      </c>
      <c r="S116" s="24" t="n">
        <v>0.0660228841817575</v>
      </c>
      <c r="T116" s="12" t="n">
        <v>23</v>
      </c>
    </row>
    <row r="117" outlineLevel="1" hidden="0">
      <c r="A117" s="7" t="s">
        <v>15</v>
      </c>
      <c r="B117" t="s">
        <v>120</v>
      </c>
      <c r="C117" s="24" t="n">
        <v>1</v>
      </c>
      <c r="D117" t="n">
        <v>8</v>
      </c>
      <c r="E117" s="24"/>
      <c r="F117"/>
      <c r="G117" s="24"/>
      <c r="H117"/>
      <c r="I117" s="24" t="n">
        <v>1</v>
      </c>
      <c r="J117" t="n">
        <v>4</v>
      </c>
      <c r="K117" s="24"/>
      <c r="L117"/>
      <c r="M117" s="24"/>
      <c r="N117"/>
      <c r="O117" s="24" t="n">
        <v>1</v>
      </c>
      <c r="P117" t="n">
        <v>4</v>
      </c>
      <c r="Q117" s="24"/>
      <c r="R117"/>
      <c r="S117" s="24"/>
      <c r="T117" s="12"/>
    </row>
    <row r="118" outlineLevel="1" hidden="0">
      <c r="A118" s="7" t="s">
        <v>15</v>
      </c>
      <c r="B118" t="s">
        <v>121</v>
      </c>
      <c r="C118" s="24" t="n">
        <v>0.52424071842099</v>
      </c>
      <c r="D118" t="n">
        <v>65</v>
      </c>
      <c r="E118" s="24" t="n">
        <v>0.105559876355719</v>
      </c>
      <c r="F118" t="n">
        <v>38</v>
      </c>
      <c r="G118" s="24" t="n">
        <v>0.0397241932837128</v>
      </c>
      <c r="H118" t="n">
        <v>38</v>
      </c>
      <c r="I118" s="24" t="n">
        <v>0.571389124750641</v>
      </c>
      <c r="J118" t="n">
        <v>34</v>
      </c>
      <c r="K118" s="24" t="n">
        <v>0.0596165027521587</v>
      </c>
      <c r="L118" t="n">
        <v>21</v>
      </c>
      <c r="M118" s="24"/>
      <c r="N118"/>
      <c r="O118" s="24" t="n">
        <v>0.468554068342</v>
      </c>
      <c r="P118" t="n">
        <v>31</v>
      </c>
      <c r="Q118" s="24" t="n">
        <v>0.171732631098487</v>
      </c>
      <c r="R118" t="n">
        <v>17</v>
      </c>
      <c r="S118" s="24" t="n">
        <v>0.0969393930685561</v>
      </c>
      <c r="T118" s="12" t="n">
        <v>17</v>
      </c>
    </row>
    <row r="119" outlineLevel="1" hidden="0">
      <c r="A119" s="7" t="s">
        <v>15</v>
      </c>
      <c r="B119" t="s">
        <v>122</v>
      </c>
      <c r="C119" s="24" t="n">
        <v>0.860041218148126</v>
      </c>
      <c r="D119" t="n">
        <v>94</v>
      </c>
      <c r="E119" s="24" t="n">
        <v>0.0372749116695648</v>
      </c>
      <c r="F119" t="n">
        <v>83</v>
      </c>
      <c r="G119" s="24" t="n">
        <v>0.0851263005884556</v>
      </c>
      <c r="H119" t="n">
        <v>83</v>
      </c>
      <c r="I119" s="24" t="n">
        <v>0.87450774496273</v>
      </c>
      <c r="J119" t="n">
        <v>44</v>
      </c>
      <c r="K119" s="24" t="n">
        <v>0.0604645912936858</v>
      </c>
      <c r="L119" t="n">
        <v>39</v>
      </c>
      <c r="M119" s="24" t="n">
        <v>0.0112592357422406</v>
      </c>
      <c r="N119" t="n">
        <v>39</v>
      </c>
      <c r="O119" s="24" t="n">
        <v>0.845615977439522</v>
      </c>
      <c r="P119" t="n">
        <v>50</v>
      </c>
      <c r="Q119" s="24" t="n">
        <v>0.0133613633991086</v>
      </c>
      <c r="R119" t="n">
        <v>44</v>
      </c>
      <c r="S119" s="24" t="n">
        <v>0.161299134772828</v>
      </c>
      <c r="T119" s="12" t="n">
        <v>44</v>
      </c>
    </row>
    <row r="120" outlineLevel="1" hidden="0">
      <c r="A120" s="7" t="s">
        <v>15</v>
      </c>
      <c r="B120" t="s">
        <v>123</v>
      </c>
      <c r="C120" s="24" t="n">
        <v>1</v>
      </c>
      <c r="D120" t="n">
        <v>7</v>
      </c>
      <c r="E120" s="24"/>
      <c r="F120"/>
      <c r="G120" s="24" t="n">
        <v>0.258641797665437</v>
      </c>
      <c r="H120" t="n">
        <v>7</v>
      </c>
      <c r="I120" s="24" t="n">
        <v>1</v>
      </c>
      <c r="J120" t="n">
        <v>7</v>
      </c>
      <c r="K120" s="24"/>
      <c r="L120"/>
      <c r="M120" s="24" t="n">
        <v>0.258641797665437</v>
      </c>
      <c r="N120" t="n">
        <v>7</v>
      </c>
      <c r="O120" s="24"/>
      <c r="P120"/>
      <c r="Q120" s="24"/>
      <c r="R120"/>
      <c r="S120" s="24"/>
      <c r="T120" s="12"/>
    </row>
    <row r="121" outlineLevel="1" hidden="0">
      <c r="A121" s="7" t="s">
        <v>15</v>
      </c>
      <c r="B121" t="s">
        <v>124</v>
      </c>
      <c r="C121" s="24" t="n">
        <v>1</v>
      </c>
      <c r="D121" t="n">
        <v>2</v>
      </c>
      <c r="E121" s="24"/>
      <c r="F121"/>
      <c r="G121" s="24"/>
      <c r="H121"/>
      <c r="I121" s="24" t="n">
        <v>1</v>
      </c>
      <c r="J121" t="n">
        <v>1</v>
      </c>
      <c r="K121" s="24"/>
      <c r="L121"/>
      <c r="M121" s="24"/>
      <c r="N121"/>
      <c r="O121" s="24" t="n">
        <v>1</v>
      </c>
      <c r="P121" t="n">
        <v>1</v>
      </c>
      <c r="Q121" s="24"/>
      <c r="R121"/>
      <c r="S121" s="24"/>
      <c r="T121" s="12"/>
    </row>
    <row r="122" outlineLevel="1" hidden="0">
      <c r="A122" s="7" t="s">
        <v>15</v>
      </c>
      <c r="B122" t="s">
        <v>125</v>
      </c>
      <c r="C122" s="24" t="n">
        <v>1</v>
      </c>
      <c r="D122" t="n">
        <v>11</v>
      </c>
      <c r="E122" s="24"/>
      <c r="F122"/>
      <c r="G122" s="24"/>
      <c r="H122"/>
      <c r="I122" s="24" t="n">
        <v>1</v>
      </c>
      <c r="J122" t="n">
        <v>6</v>
      </c>
      <c r="K122" s="24"/>
      <c r="L122"/>
      <c r="M122" s="24"/>
      <c r="N122"/>
      <c r="O122" s="24" t="n">
        <v>1</v>
      </c>
      <c r="P122" t="n">
        <v>5</v>
      </c>
      <c r="Q122" s="24"/>
      <c r="R122"/>
      <c r="S122" s="24"/>
      <c r="T122" s="12"/>
    </row>
    <row r="123" outlineLevel="1" hidden="0">
      <c r="A123" s="7" t="s">
        <v>15</v>
      </c>
      <c r="B123" t="s">
        <v>126</v>
      </c>
      <c r="C123" s="24" t="n">
        <v>1</v>
      </c>
      <c r="D123" t="n">
        <v>2</v>
      </c>
      <c r="E123" s="24" t="n">
        <v>0.252614158571755</v>
      </c>
      <c r="F123" t="n">
        <v>2</v>
      </c>
      <c r="G123" s="24"/>
      <c r="H123"/>
      <c r="I123" s="24" t="n">
        <v>1</v>
      </c>
      <c r="J123" t="n">
        <v>1</v>
      </c>
      <c r="K123" s="24" t="n">
        <v>1</v>
      </c>
      <c r="L123" t="n">
        <v>1</v>
      </c>
      <c r="M123" s="24"/>
      <c r="N123"/>
      <c r="O123" s="24" t="n">
        <v>1</v>
      </c>
      <c r="P123" t="n">
        <v>1</v>
      </c>
      <c r="Q123" s="24"/>
      <c r="R123"/>
      <c r="S123" s="24"/>
      <c r="T123" s="12"/>
    </row>
    <row r="124" outlineLevel="1" hidden="0">
      <c r="A124" s="7" t="s">
        <v>15</v>
      </c>
      <c r="B124" t="s">
        <v>127</v>
      </c>
      <c r="C124" s="24" t="n">
        <v>1</v>
      </c>
      <c r="D124" t="n">
        <v>1</v>
      </c>
      <c r="E124" s="24"/>
      <c r="F124"/>
      <c r="G124" s="24"/>
      <c r="H124"/>
      <c r="I124" s="24"/>
      <c r="J124"/>
      <c r="K124" s="24"/>
      <c r="L124"/>
      <c r="M124" s="24"/>
      <c r="N124"/>
      <c r="O124" s="24" t="n">
        <v>1</v>
      </c>
      <c r="P124" t="n">
        <v>1</v>
      </c>
      <c r="Q124" s="24"/>
      <c r="R124"/>
      <c r="S124" s="24"/>
      <c r="T124" s="12"/>
    </row>
    <row r="125" outlineLevel="1" hidden="0">
      <c r="A125" s="7" t="s">
        <v>15</v>
      </c>
      <c r="B125" t="s">
        <v>128</v>
      </c>
      <c r="C125" s="24" t="n">
        <v>0.976098321009555</v>
      </c>
      <c r="D125" t="n">
        <v>24</v>
      </c>
      <c r="E125" s="24" t="n">
        <v>0.121498837803441</v>
      </c>
      <c r="F125" t="n">
        <v>23</v>
      </c>
      <c r="G125" s="24" t="n">
        <v>0.0558883463578446</v>
      </c>
      <c r="H125" t="n">
        <v>23</v>
      </c>
      <c r="I125" s="24" t="n">
        <v>0.905301229808766</v>
      </c>
      <c r="J125" t="n">
        <v>7</v>
      </c>
      <c r="K125" s="24"/>
      <c r="L125"/>
      <c r="M125" s="24"/>
      <c r="N125"/>
      <c r="O125" s="24" t="n">
        <v>1</v>
      </c>
      <c r="P125" t="n">
        <v>17</v>
      </c>
      <c r="Q125" s="24" t="n">
        <v>0.158633393231739</v>
      </c>
      <c r="R125" t="n">
        <v>17</v>
      </c>
      <c r="S125" s="24" t="n">
        <v>0.072969899837219</v>
      </c>
      <c r="T125" s="12" t="n">
        <v>17</v>
      </c>
    </row>
    <row r="126" outlineLevel="1" hidden="0">
      <c r="A126" s="7" t="s">
        <v>15</v>
      </c>
      <c r="B126" t="s">
        <v>129</v>
      </c>
      <c r="C126" s="24" t="n">
        <v>0.578048823931167</v>
      </c>
      <c r="D126" t="n">
        <v>5</v>
      </c>
      <c r="E126" s="24"/>
      <c r="F126"/>
      <c r="G126" s="24"/>
      <c r="H126"/>
      <c r="I126" s="24"/>
      <c r="J126"/>
      <c r="K126" s="24"/>
      <c r="L126"/>
      <c r="M126" s="24"/>
      <c r="N126"/>
      <c r="O126" s="24" t="n">
        <v>0.578048823931167</v>
      </c>
      <c r="P126" t="n">
        <v>5</v>
      </c>
      <c r="Q126" s="24"/>
      <c r="R126"/>
      <c r="S126" s="24"/>
      <c r="T126" s="12"/>
    </row>
    <row r="127" outlineLevel="1" hidden="0">
      <c r="A127" s="7" t="s">
        <v>15</v>
      </c>
      <c r="B127" t="s">
        <v>130</v>
      </c>
      <c r="C127" s="24" t="n">
        <v>0.917721347785024</v>
      </c>
      <c r="D127" t="n">
        <v>190</v>
      </c>
      <c r="E127" s="24" t="n">
        <v>0.0898188276798761</v>
      </c>
      <c r="F127" t="n">
        <v>171</v>
      </c>
      <c r="G127" s="24" t="n">
        <v>0.0363600905383968</v>
      </c>
      <c r="H127" t="n">
        <v>171</v>
      </c>
      <c r="I127" s="24" t="n">
        <v>0.880711324083108</v>
      </c>
      <c r="J127" t="n">
        <v>115</v>
      </c>
      <c r="K127" s="24" t="n">
        <v>0.0594821897898913</v>
      </c>
      <c r="L127" t="n">
        <v>101</v>
      </c>
      <c r="M127" s="24" t="n">
        <v>0.0616238755877482</v>
      </c>
      <c r="N127" t="n">
        <v>101</v>
      </c>
      <c r="O127" s="24" t="n">
        <v>0.970340562211293</v>
      </c>
      <c r="P127" t="n">
        <v>75</v>
      </c>
      <c r="Q127" s="24" t="n">
        <v>0.128966129916593</v>
      </c>
      <c r="R127" t="n">
        <v>70</v>
      </c>
      <c r="S127" s="24" t="n">
        <v>0.00375894889056348</v>
      </c>
      <c r="T127" s="12" t="n">
        <v>70</v>
      </c>
    </row>
    <row r="128" outlineLevel="1" hidden="0">
      <c r="A128" s="7" t="s">
        <v>15</v>
      </c>
      <c r="B128" t="s">
        <v>131</v>
      </c>
      <c r="C128" s="24" t="n">
        <v>1</v>
      </c>
      <c r="D128" t="n">
        <v>8</v>
      </c>
      <c r="E128" s="24"/>
      <c r="F128"/>
      <c r="G128" s="24"/>
      <c r="H128"/>
      <c r="I128" s="24" t="n">
        <v>1</v>
      </c>
      <c r="J128" t="n">
        <v>5</v>
      </c>
      <c r="K128" s="24"/>
      <c r="L128"/>
      <c r="M128" s="24"/>
      <c r="N128"/>
      <c r="O128" s="24" t="n">
        <v>1</v>
      </c>
      <c r="P128" t="n">
        <v>3</v>
      </c>
      <c r="Q128" s="24"/>
      <c r="R128"/>
      <c r="S128" s="24"/>
      <c r="T128" s="12"/>
    </row>
    <row r="129" outlineLevel="1" hidden="0">
      <c r="A129" s="7" t="s">
        <v>15</v>
      </c>
      <c r="B129" t="s">
        <v>132</v>
      </c>
      <c r="C129" s="24" t="n">
        <v>1</v>
      </c>
      <c r="D129" t="n">
        <v>1</v>
      </c>
      <c r="E129" s="24"/>
      <c r="F129"/>
      <c r="G129" s="24"/>
      <c r="H129"/>
      <c r="I129" s="24" t="n">
        <v>1</v>
      </c>
      <c r="J129" t="n">
        <v>1</v>
      </c>
      <c r="K129" s="24"/>
      <c r="L129"/>
      <c r="M129" s="24"/>
      <c r="N129"/>
      <c r="O129" s="24"/>
      <c r="P129"/>
      <c r="Q129" s="24"/>
      <c r="R129"/>
      <c r="S129" s="24"/>
      <c r="T129" s="12"/>
    </row>
    <row r="130" outlineLevel="1" hidden="0">
      <c r="A130" s="7" t="s">
        <v>15</v>
      </c>
      <c r="B130" t="s">
        <v>133</v>
      </c>
      <c r="C130" s="24" t="n">
        <v>1</v>
      </c>
      <c r="D130" t="n">
        <v>2</v>
      </c>
      <c r="E130" s="24"/>
      <c r="F130"/>
      <c r="G130" s="24"/>
      <c r="H130"/>
      <c r="I130" s="24" t="n">
        <v>1</v>
      </c>
      <c r="J130" t="n">
        <v>1</v>
      </c>
      <c r="K130" s="24"/>
      <c r="L130"/>
      <c r="M130" s="24"/>
      <c r="N130"/>
      <c r="O130" s="24" t="n">
        <v>1</v>
      </c>
      <c r="P130" t="n">
        <v>1</v>
      </c>
      <c r="Q130" s="24"/>
      <c r="R130"/>
      <c r="S130" s="24"/>
      <c r="T130" s="12"/>
    </row>
    <row r="131" outlineLevel="1" hidden="0">
      <c r="A131" s="7" t="s">
        <v>15</v>
      </c>
      <c r="B131" t="s">
        <v>134</v>
      </c>
      <c r="C131" s="24" t="n">
        <v>1</v>
      </c>
      <c r="D131" t="n">
        <v>2</v>
      </c>
      <c r="E131" s="24"/>
      <c r="F131"/>
      <c r="G131" s="24"/>
      <c r="H131"/>
      <c r="I131" s="24" t="n">
        <v>1</v>
      </c>
      <c r="J131" t="n">
        <v>1</v>
      </c>
      <c r="K131" s="24"/>
      <c r="L131"/>
      <c r="M131" s="24"/>
      <c r="N131"/>
      <c r="O131" s="24" t="n">
        <v>1</v>
      </c>
      <c r="P131" t="n">
        <v>1</v>
      </c>
      <c r="Q131" s="24"/>
      <c r="R131"/>
      <c r="S131" s="24"/>
      <c r="T131" s="12"/>
    </row>
    <row r="132" outlineLevel="1" hidden="0">
      <c r="A132" s="7" t="s">
        <v>15</v>
      </c>
      <c r="B132" t="s">
        <v>135</v>
      </c>
      <c r="C132" s="24" t="n">
        <v>0.940221376738575</v>
      </c>
      <c r="D132" t="n">
        <v>45</v>
      </c>
      <c r="E132" s="24" t="n">
        <v>0.0427898805936826</v>
      </c>
      <c r="F132" t="n">
        <v>42</v>
      </c>
      <c r="G132" s="24" t="n">
        <v>0.0108105582885429</v>
      </c>
      <c r="H132" t="n">
        <v>42</v>
      </c>
      <c r="I132" s="24" t="n">
        <v>0.901813609336978</v>
      </c>
      <c r="J132" t="n">
        <v>24</v>
      </c>
      <c r="K132" s="24" t="n">
        <v>0.0928666399139485</v>
      </c>
      <c r="L132" t="n">
        <v>22</v>
      </c>
      <c r="M132" s="24" t="n">
        <v>0.0234620945401535</v>
      </c>
      <c r="N132" t="n">
        <v>22</v>
      </c>
      <c r="O132" s="24" t="n">
        <v>0.975730251181137</v>
      </c>
      <c r="P132" t="n">
        <v>21</v>
      </c>
      <c r="Q132" s="24"/>
      <c r="R132"/>
      <c r="S132" s="24"/>
      <c r="T132" s="12"/>
    </row>
    <row r="133" outlineLevel="1" hidden="0">
      <c r="A133" s="7" t="s">
        <v>15</v>
      </c>
      <c r="B133" t="s">
        <v>136</v>
      </c>
      <c r="C133" s="24" t="n">
        <v>0.290633587862803</v>
      </c>
      <c r="D133" t="n">
        <v>3</v>
      </c>
      <c r="E133" s="24"/>
      <c r="F133"/>
      <c r="G133" s="24"/>
      <c r="H133"/>
      <c r="I133" s="24" t="n">
        <v>1</v>
      </c>
      <c r="J133" t="n">
        <v>2</v>
      </c>
      <c r="K133" s="24"/>
      <c r="L133"/>
      <c r="M133" s="24"/>
      <c r="N133"/>
      <c r="O133" s="24"/>
      <c r="P133"/>
      <c r="Q133" s="24"/>
      <c r="R133"/>
      <c r="S133" s="24"/>
      <c r="T133" s="12"/>
    </row>
    <row r="134" outlineLevel="1" hidden="0">
      <c r="A134" s="7" t="s">
        <v>15</v>
      </c>
      <c r="B134" t="s">
        <v>137</v>
      </c>
      <c r="C134" s="24" t="n">
        <v>0.75</v>
      </c>
      <c r="D134" t="n">
        <v>4</v>
      </c>
      <c r="E134" s="24"/>
      <c r="F134"/>
      <c r="G134" s="24"/>
      <c r="H134"/>
      <c r="I134" s="24" t="n">
        <v>0.5</v>
      </c>
      <c r="J134" t="n">
        <v>2</v>
      </c>
      <c r="K134" s="24"/>
      <c r="L134"/>
      <c r="M134" s="24"/>
      <c r="N134"/>
      <c r="O134" s="24" t="n">
        <v>1</v>
      </c>
      <c r="P134" t="n">
        <v>2</v>
      </c>
      <c r="Q134" s="24"/>
      <c r="R134"/>
      <c r="S134" s="24"/>
      <c r="T134" s="12"/>
    </row>
    <row r="135" outlineLevel="1" hidden="0">
      <c r="A135" s="7" t="s">
        <v>15</v>
      </c>
      <c r="B135" t="s">
        <v>138</v>
      </c>
      <c r="C135" s="24" t="n">
        <v>1</v>
      </c>
      <c r="D135" t="n">
        <v>1</v>
      </c>
      <c r="E135" s="24"/>
      <c r="F135"/>
      <c r="G135" s="24"/>
      <c r="H135"/>
      <c r="I135" s="24" t="n">
        <v>1</v>
      </c>
      <c r="J135" t="n">
        <v>1</v>
      </c>
      <c r="K135" s="24"/>
      <c r="L135"/>
      <c r="M135" s="24"/>
      <c r="N135"/>
      <c r="O135" s="24"/>
      <c r="P135"/>
      <c r="Q135" s="24"/>
      <c r="R135"/>
      <c r="S135" s="24"/>
      <c r="T135" s="12"/>
    </row>
    <row r="136" outlineLevel="1" hidden="0">
      <c r="A136" s="7" t="s">
        <v>15</v>
      </c>
      <c r="B136" t="s">
        <v>139</v>
      </c>
      <c r="C136" s="24" t="n">
        <v>1</v>
      </c>
      <c r="D136" t="n">
        <v>7</v>
      </c>
      <c r="E136" s="24"/>
      <c r="F136"/>
      <c r="G136" s="24"/>
      <c r="H136"/>
      <c r="I136" s="24" t="n">
        <v>1</v>
      </c>
      <c r="J136" t="n">
        <v>4</v>
      </c>
      <c r="K136" s="24"/>
      <c r="L136"/>
      <c r="M136" s="24"/>
      <c r="N136"/>
      <c r="O136" s="24" t="n">
        <v>1</v>
      </c>
      <c r="P136" t="n">
        <v>3</v>
      </c>
      <c r="Q136" s="24"/>
      <c r="R136"/>
      <c r="S136" s="24"/>
      <c r="T136" s="12"/>
    </row>
    <row r="137" outlineLevel="1" hidden="0">
      <c r="A137" s="7" t="s">
        <v>15</v>
      </c>
      <c r="B137" t="s">
        <v>140</v>
      </c>
      <c r="C137" s="24" t="n">
        <v>1</v>
      </c>
      <c r="D137" t="n">
        <v>2</v>
      </c>
      <c r="E137" s="24"/>
      <c r="F137"/>
      <c r="G137" s="24"/>
      <c r="H137"/>
      <c r="I137" s="24" t="n">
        <v>1</v>
      </c>
      <c r="J137" t="n">
        <v>2</v>
      </c>
      <c r="K137" s="24"/>
      <c r="L137"/>
      <c r="M137" s="24"/>
      <c r="N137"/>
      <c r="O137" s="24"/>
      <c r="P137"/>
      <c r="Q137" s="24"/>
      <c r="R137"/>
      <c r="S137" s="24"/>
      <c r="T137" s="12"/>
    </row>
    <row r="138" outlineLevel="1" hidden="0">
      <c r="A138" s="7" t="s">
        <v>15</v>
      </c>
      <c r="B138" t="s">
        <v>141</v>
      </c>
      <c r="C138" s="24" t="n">
        <v>1</v>
      </c>
      <c r="D138" t="n">
        <v>1</v>
      </c>
      <c r="E138" s="24"/>
      <c r="F138"/>
      <c r="G138" s="24"/>
      <c r="H138"/>
      <c r="I138" s="24" t="n">
        <v>1</v>
      </c>
      <c r="J138" t="n">
        <v>1</v>
      </c>
      <c r="K138" s="24"/>
      <c r="L138"/>
      <c r="M138" s="24"/>
      <c r="N138"/>
      <c r="O138" s="24"/>
      <c r="P138"/>
      <c r="Q138" s="24"/>
      <c r="R138"/>
      <c r="S138" s="24"/>
      <c r="T138" s="12"/>
    </row>
    <row r="139" outlineLevel="1" hidden="0">
      <c r="A139" s="7" t="s">
        <v>15</v>
      </c>
      <c r="B139" t="s">
        <v>142</v>
      </c>
      <c r="C139" s="24" t="n">
        <v>1</v>
      </c>
      <c r="D139" t="n">
        <v>32</v>
      </c>
      <c r="E139" s="24" t="n">
        <v>0.0115654720991495</v>
      </c>
      <c r="F139" t="n">
        <v>32</v>
      </c>
      <c r="G139" s="24"/>
      <c r="H139"/>
      <c r="I139" s="24" t="n">
        <v>1</v>
      </c>
      <c r="J139" t="n">
        <v>20</v>
      </c>
      <c r="K139" s="24" t="n">
        <v>0.0171498872049955</v>
      </c>
      <c r="L139" t="n">
        <v>20</v>
      </c>
      <c r="M139" s="24"/>
      <c r="N139"/>
      <c r="O139" s="24" t="n">
        <v>1</v>
      </c>
      <c r="P139" t="n">
        <v>12</v>
      </c>
      <c r="Q139" s="24"/>
      <c r="R139"/>
      <c r="S139" s="24"/>
      <c r="T139" s="12"/>
    </row>
    <row r="140" outlineLevel="1" hidden="0">
      <c r="A140" s="7" t="s">
        <v>15</v>
      </c>
      <c r="B140" t="s">
        <v>143</v>
      </c>
      <c r="C140" s="24" t="n">
        <v>1</v>
      </c>
      <c r="D140" t="n">
        <v>1</v>
      </c>
      <c r="E140" s="24"/>
      <c r="F140"/>
      <c r="G140" s="24"/>
      <c r="H140"/>
      <c r="I140" s="24" t="n">
        <v>1</v>
      </c>
      <c r="J140" t="n">
        <v>1</v>
      </c>
      <c r="K140" s="24"/>
      <c r="L140"/>
      <c r="M140" s="24"/>
      <c r="N140"/>
      <c r="O140" s="24"/>
      <c r="P140"/>
      <c r="Q140" s="24"/>
      <c r="R140"/>
      <c r="S140" s="24"/>
      <c r="T140" s="12"/>
    </row>
    <row r="141" outlineLevel="1" hidden="0">
      <c r="A141" s="7" t="s">
        <v>15</v>
      </c>
      <c r="B141" t="s">
        <v>144</v>
      </c>
      <c r="C141" s="24" t="n">
        <v>1</v>
      </c>
      <c r="D141" t="n">
        <v>6</v>
      </c>
      <c r="E141" s="24" t="n">
        <v>0.0225436733780717</v>
      </c>
      <c r="F141" t="n">
        <v>6</v>
      </c>
      <c r="G141" s="24"/>
      <c r="H141"/>
      <c r="I141" s="24" t="n">
        <v>1</v>
      </c>
      <c r="J141" t="n">
        <v>1</v>
      </c>
      <c r="K141" s="24"/>
      <c r="L141"/>
      <c r="M141" s="24"/>
      <c r="N141"/>
      <c r="O141" s="24" t="n">
        <v>1</v>
      </c>
      <c r="P141" t="n">
        <v>5</v>
      </c>
      <c r="Q141" s="24" t="n">
        <v>0.0356466161315166</v>
      </c>
      <c r="R141" t="n">
        <v>5</v>
      </c>
      <c r="S141" s="24"/>
      <c r="T141" s="12"/>
    </row>
    <row r="142" outlineLevel="1" hidden="0">
      <c r="A142" s="7" t="s">
        <v>15</v>
      </c>
      <c r="B142" t="s">
        <v>145</v>
      </c>
      <c r="C142" s="24" t="n">
        <v>0.846490913164125</v>
      </c>
      <c r="D142" t="n">
        <v>178</v>
      </c>
      <c r="E142" s="24" t="n">
        <v>0.130376633330573</v>
      </c>
      <c r="F142" t="n">
        <v>140</v>
      </c>
      <c r="G142" s="24" t="n">
        <v>0.0336710930351213</v>
      </c>
      <c r="H142" t="n">
        <v>140</v>
      </c>
      <c r="I142" s="24" t="n">
        <v>0.879705486211922</v>
      </c>
      <c r="J142" t="n">
        <v>91</v>
      </c>
      <c r="K142" s="24" t="n">
        <v>0.0484873125947727</v>
      </c>
      <c r="L142" t="n">
        <v>74</v>
      </c>
      <c r="M142" s="24" t="n">
        <v>0.053228682657174</v>
      </c>
      <c r="N142" t="n">
        <v>74</v>
      </c>
      <c r="O142" s="24" t="n">
        <v>0.812256193709354</v>
      </c>
      <c r="P142" t="n">
        <v>87</v>
      </c>
      <c r="Q142" s="24" t="n">
        <v>0.221421013321967</v>
      </c>
      <c r="R142" t="n">
        <v>66</v>
      </c>
      <c r="S142" s="24" t="n">
        <v>0.0119270047307295</v>
      </c>
      <c r="T142" s="12" t="n">
        <v>66</v>
      </c>
    </row>
    <row r="143" outlineLevel="1" hidden="0">
      <c r="A143" s="7" t="s">
        <v>15</v>
      </c>
      <c r="B143" t="s">
        <v>146</v>
      </c>
      <c r="C143" s="24" t="n">
        <v>0.887832809257112</v>
      </c>
      <c r="D143" t="n">
        <v>8</v>
      </c>
      <c r="E143" s="24"/>
      <c r="F143"/>
      <c r="G143" s="24"/>
      <c r="H143"/>
      <c r="I143" s="24" t="n">
        <v>1</v>
      </c>
      <c r="J143" t="n">
        <v>3</v>
      </c>
      <c r="K143" s="24"/>
      <c r="L143"/>
      <c r="M143" s="24"/>
      <c r="N143"/>
      <c r="O143" s="24" t="n">
        <v>0.825996950987824</v>
      </c>
      <c r="P143" t="n">
        <v>5</v>
      </c>
      <c r="Q143" s="24"/>
      <c r="R143"/>
      <c r="S143" s="24"/>
      <c r="T143" s="12"/>
    </row>
    <row r="144" outlineLevel="1" hidden="0">
      <c r="A144" s="7" t="s">
        <v>15</v>
      </c>
      <c r="B144" t="s">
        <v>147</v>
      </c>
      <c r="C144" s="24" t="n">
        <v>1</v>
      </c>
      <c r="D144" t="n">
        <v>4</v>
      </c>
      <c r="E144" s="24"/>
      <c r="F144"/>
      <c r="G144" s="24"/>
      <c r="H144"/>
      <c r="I144" s="24" t="n">
        <v>1</v>
      </c>
      <c r="J144" t="n">
        <v>2</v>
      </c>
      <c r="K144" s="24"/>
      <c r="L144"/>
      <c r="M144" s="24"/>
      <c r="N144"/>
      <c r="O144" s="24" t="n">
        <v>1</v>
      </c>
      <c r="P144" t="n">
        <v>2</v>
      </c>
      <c r="Q144" s="24"/>
      <c r="R144"/>
      <c r="S144" s="24"/>
      <c r="T144" s="12"/>
    </row>
    <row r="145" outlineLevel="1" hidden="0">
      <c r="A145" s="7" t="s">
        <v>15</v>
      </c>
      <c r="B145" t="s">
        <v>148</v>
      </c>
      <c r="C145" s="24" t="n">
        <v>0.290948048899342</v>
      </c>
      <c r="D145" t="n">
        <v>3</v>
      </c>
      <c r="E145" s="24"/>
      <c r="F145"/>
      <c r="G145" s="24"/>
      <c r="H145"/>
      <c r="I145" s="24" t="n">
        <v>0.450750979712009</v>
      </c>
      <c r="J145" t="n">
        <v>2</v>
      </c>
      <c r="K145" s="24"/>
      <c r="L145"/>
      <c r="M145" s="24"/>
      <c r="N145"/>
      <c r="O145" s="24"/>
      <c r="P145"/>
      <c r="Q145" s="24"/>
      <c r="R145"/>
      <c r="S145" s="24"/>
      <c r="T145" s="12"/>
    </row>
    <row r="146" outlineLevel="1" hidden="0">
      <c r="A146" s="7" t="s">
        <v>15</v>
      </c>
      <c r="B146" t="s">
        <v>149</v>
      </c>
      <c r="C146" s="24" t="n">
        <v>0.846596852137984</v>
      </c>
      <c r="D146" t="n">
        <v>14</v>
      </c>
      <c r="E146" s="24" t="n">
        <v>0.186189875773814</v>
      </c>
      <c r="F146" t="n">
        <v>9</v>
      </c>
      <c r="G146" s="24" t="n">
        <v>0.186189875773814</v>
      </c>
      <c r="H146" t="n">
        <v>9</v>
      </c>
      <c r="I146" s="24" t="n">
        <v>0.737170984673246</v>
      </c>
      <c r="J146" t="n">
        <v>8</v>
      </c>
      <c r="K146" s="24"/>
      <c r="L146"/>
      <c r="M146" s="24"/>
      <c r="N146"/>
      <c r="O146" s="24" t="n">
        <v>0.936811228804533</v>
      </c>
      <c r="P146" t="n">
        <v>6</v>
      </c>
      <c r="Q146" s="24" t="n">
        <v>0.306979036034806</v>
      </c>
      <c r="R146" t="n">
        <v>5</v>
      </c>
      <c r="S146" s="24" t="n">
        <v>0.306979036034806</v>
      </c>
      <c r="T146" s="12" t="n">
        <v>5</v>
      </c>
    </row>
    <row r="147" outlineLevel="1" hidden="0">
      <c r="A147" s="7" t="s">
        <v>15</v>
      </c>
      <c r="B147" t="s">
        <v>150</v>
      </c>
      <c r="C147" s="24" t="n">
        <v>0.5547366872611</v>
      </c>
      <c r="D147" t="n">
        <v>17</v>
      </c>
      <c r="E147" s="24" t="n">
        <v>0.238522752824635</v>
      </c>
      <c r="F147" t="n">
        <v>13</v>
      </c>
      <c r="G147" s="24"/>
      <c r="H147"/>
      <c r="I147" s="24" t="n">
        <v>0.259802277902062</v>
      </c>
      <c r="J147" t="n">
        <v>5</v>
      </c>
      <c r="K147" s="24"/>
      <c r="L147"/>
      <c r="M147" s="24"/>
      <c r="N147"/>
      <c r="O147" s="24" t="n">
        <v>0.711562560505081</v>
      </c>
      <c r="P147" t="n">
        <v>12</v>
      </c>
      <c r="Q147" s="24" t="n">
        <v>0.284830318258912</v>
      </c>
      <c r="R147" t="n">
        <v>10</v>
      </c>
      <c r="S147" s="24"/>
      <c r="T147" s="12"/>
    </row>
    <row r="148" outlineLevel="1" hidden="0">
      <c r="A148" s="7" t="s">
        <v>15</v>
      </c>
      <c r="B148" t="s">
        <v>151</v>
      </c>
      <c r="C148" s="24" t="n">
        <v>0.909578112219459</v>
      </c>
      <c r="D148" t="n">
        <v>13</v>
      </c>
      <c r="E148" s="24"/>
      <c r="F148"/>
      <c r="G148" s="24"/>
      <c r="H148"/>
      <c r="I148" s="24" t="n">
        <v>0.857333429772909</v>
      </c>
      <c r="J148" t="n">
        <v>8</v>
      </c>
      <c r="K148" s="24"/>
      <c r="L148"/>
      <c r="M148" s="24"/>
      <c r="N148"/>
      <c r="O148" s="24" t="n">
        <v>1</v>
      </c>
      <c r="P148" t="n">
        <v>5</v>
      </c>
      <c r="Q148" s="24"/>
      <c r="R148"/>
      <c r="S148" s="24"/>
      <c r="T148" s="12"/>
    </row>
    <row r="149" outlineLevel="1" hidden="0">
      <c r="A149" s="8" t="s">
        <v>15</v>
      </c>
      <c r="B149" s="10" t="s">
        <v>152</v>
      </c>
      <c r="C149" s="23" t="n">
        <v>1</v>
      </c>
      <c r="D149" s="10" t="n">
        <v>2</v>
      </c>
      <c r="E149" s="23"/>
      <c r="F149" s="10"/>
      <c r="G149" s="23"/>
      <c r="H149" s="10"/>
      <c r="I149" s="23" t="n">
        <v>1</v>
      </c>
      <c r="J149" s="10" t="n">
        <v>2</v>
      </c>
      <c r="K149" s="23"/>
      <c r="L149" s="10"/>
      <c r="M149" s="23"/>
      <c r="N149" s="10"/>
      <c r="O149" s="23"/>
      <c r="P149" s="10"/>
      <c r="Q149" s="23"/>
      <c r="R149" s="10"/>
      <c r="S149" s="23"/>
      <c r="T149" s="13"/>
    </row>
    <row r="150">
      <c r="C150" s="24"/>
      <c r="E150" s="24"/>
      <c r="G150" s="24"/>
      <c r="I150" s="24"/>
      <c r="K150" s="24"/>
      <c r="M150" s="24"/>
      <c r="O150" s="24"/>
      <c r="Q150" s="24"/>
      <c r="S150" s="24"/>
    </row>
    <row r="151">
      <c r="C151" s="24"/>
      <c r="E151" s="24"/>
      <c r="G151" s="24"/>
      <c r="I151" s="24"/>
      <c r="K151" s="24"/>
      <c r="M151" s="24"/>
      <c r="O151" s="24"/>
      <c r="Q151" s="24"/>
      <c r="S151" s="24"/>
    </row>
  </sheetData>
  <mergeCells count="22">
    <mergeCell ref="A1:T1"/>
    <mergeCell ref="C2:H2"/>
    <mergeCell ref="I2:N2"/>
    <mergeCell ref="O2:T2"/>
    <mergeCell ref="E3:H3"/>
    <mergeCell ref="K3:N3"/>
    <mergeCell ref="Q3:T3"/>
    <mergeCell ref="E4:F4"/>
    <mergeCell ref="G4:H4"/>
    <mergeCell ref="C4:D4"/>
    <mergeCell ref="K4:L4"/>
    <mergeCell ref="M4:N4"/>
    <mergeCell ref="I4:J4"/>
    <mergeCell ref="Q4:R4"/>
    <mergeCell ref="S4:T4"/>
    <mergeCell ref="O4:P4"/>
    <mergeCell ref="A6:T6"/>
    <mergeCell ref="A9:T9"/>
    <mergeCell ref="A15:T15"/>
    <mergeCell ref="A20:T20"/>
    <mergeCell ref="A32:T32"/>
    <mergeCell ref="A54:T54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 outlineLevelRow="1"/>
  <sheetData>
    <row r="1">
      <c r="A1" s="1" t="s">
        <v>157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>
      <c r="C2" s="2" t="s">
        <v>2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 t="s">
        <v>3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 t="s">
        <v>4</v>
      </c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</row>
    <row r="3">
      <c r="E3" s="2" t="s">
        <v>158</v>
      </c>
      <c r="F3" s="2"/>
      <c r="I3" s="2"/>
      <c r="J3" s="2"/>
      <c r="K3" s="2"/>
      <c r="L3" s="2"/>
      <c r="Q3" s="2" t="s">
        <v>158</v>
      </c>
      <c r="R3" s="2"/>
      <c r="U3" s="2"/>
      <c r="V3" s="2"/>
      <c r="W3" s="2"/>
      <c r="X3" s="2"/>
      <c r="AC3" s="2" t="s">
        <v>158</v>
      </c>
      <c r="AD3" s="2"/>
      <c r="AG3" s="2"/>
      <c r="AH3" s="2"/>
      <c r="AI3" s="2"/>
      <c r="AJ3" s="2"/>
    </row>
    <row r="4">
      <c r="C4" s="2" t="s">
        <v>162</v>
      </c>
      <c r="D4" s="2"/>
      <c r="E4" s="2" t="s">
        <v>159</v>
      </c>
      <c r="F4" s="2"/>
      <c r="I4" s="2" t="s">
        <v>160</v>
      </c>
      <c r="J4" s="2"/>
      <c r="K4" s="2" t="s">
        <v>161</v>
      </c>
      <c r="L4" s="2"/>
      <c r="O4" s="2" t="s">
        <v>162</v>
      </c>
      <c r="P4" s="2"/>
      <c r="Q4" s="2" t="s">
        <v>159</v>
      </c>
      <c r="R4" s="2"/>
      <c r="U4" s="2" t="s">
        <v>160</v>
      </c>
      <c r="V4" s="2"/>
      <c r="W4" s="2" t="s">
        <v>161</v>
      </c>
      <c r="X4" s="2"/>
      <c r="AA4" s="2" t="s">
        <v>162</v>
      </c>
      <c r="AB4" s="2"/>
      <c r="AC4" s="2" t="s">
        <v>159</v>
      </c>
      <c r="AD4" s="2"/>
      <c r="AG4" s="2" t="s">
        <v>160</v>
      </c>
      <c r="AH4" s="2"/>
      <c r="AI4" s="2" t="s">
        <v>161</v>
      </c>
      <c r="AJ4" s="2"/>
    </row>
    <row r="5">
      <c r="A5" s="2" t="s">
        <v>11</v>
      </c>
      <c r="B5" s="2" t="s">
        <v>12</v>
      </c>
      <c r="C5" s="2" t="s">
        <v>13</v>
      </c>
      <c r="D5" s="2" t="s">
        <v>14</v>
      </c>
      <c r="E5" s="2" t="s">
        <v>13</v>
      </c>
      <c r="F5" s="2" t="s">
        <v>14</v>
      </c>
      <c r="G5" s="2" t="s">
        <v>13</v>
      </c>
      <c r="H5" s="2" t="s">
        <v>13</v>
      </c>
      <c r="I5" s="2" t="s">
        <v>13</v>
      </c>
      <c r="J5" s="2" t="s">
        <v>14</v>
      </c>
      <c r="K5" s="2" t="s">
        <v>13</v>
      </c>
      <c r="L5" s="2" t="s">
        <v>14</v>
      </c>
      <c r="M5" s="2" t="s">
        <v>14</v>
      </c>
      <c r="N5" s="2" t="s">
        <v>14</v>
      </c>
      <c r="O5" s="2" t="s">
        <v>13</v>
      </c>
      <c r="P5" s="2" t="s">
        <v>14</v>
      </c>
      <c r="Q5" s="2" t="s">
        <v>13</v>
      </c>
      <c r="R5" s="2" t="s">
        <v>14</v>
      </c>
      <c r="S5" s="2" t="s">
        <v>13</v>
      </c>
      <c r="T5" s="2" t="s">
        <v>13</v>
      </c>
      <c r="U5" s="2" t="s">
        <v>13</v>
      </c>
      <c r="V5" s="2" t="s">
        <v>14</v>
      </c>
      <c r="W5" s="2" t="s">
        <v>13</v>
      </c>
      <c r="X5" s="2" t="s">
        <v>14</v>
      </c>
      <c r="Y5" s="2" t="s">
        <v>14</v>
      </c>
      <c r="Z5" s="2" t="s">
        <v>14</v>
      </c>
      <c r="AA5" s="2" t="s">
        <v>13</v>
      </c>
      <c r="AB5" s="2" t="s">
        <v>14</v>
      </c>
      <c r="AC5" s="2" t="s">
        <v>13</v>
      </c>
      <c r="AD5" s="2" t="s">
        <v>14</v>
      </c>
      <c r="AE5" s="2" t="s">
        <v>13</v>
      </c>
      <c r="AF5" s="2" t="s">
        <v>13</v>
      </c>
      <c r="AG5" s="2" t="s">
        <v>13</v>
      </c>
      <c r="AH5" s="2" t="s">
        <v>14</v>
      </c>
      <c r="AI5" s="2" t="s">
        <v>13</v>
      </c>
      <c r="AJ5" s="2" t="s">
        <v>14</v>
      </c>
      <c r="AK5" s="2" t="s">
        <v>14</v>
      </c>
      <c r="AL5" s="2" t="s">
        <v>14</v>
      </c>
    </row>
    <row r="6">
      <c r="A6" s="2" t="s">
        <v>2</v>
      </c>
      <c r="B6" s="2"/>
      <c r="C6" s="25"/>
      <c r="D6" s="2"/>
      <c r="E6" s="25"/>
      <c r="F6" s="2"/>
      <c r="G6" s="25"/>
      <c r="H6" s="25"/>
      <c r="I6" s="25"/>
      <c r="J6" s="2"/>
      <c r="K6" s="25"/>
      <c r="L6" s="2"/>
      <c r="M6" s="2"/>
      <c r="N6" s="2"/>
      <c r="O6" s="25"/>
      <c r="P6" s="2"/>
      <c r="Q6" s="25"/>
      <c r="R6" s="2"/>
      <c r="S6" s="25"/>
      <c r="T6" s="25"/>
      <c r="U6" s="25"/>
      <c r="V6" s="2"/>
      <c r="W6" s="25"/>
      <c r="X6" s="2"/>
      <c r="Y6" s="2"/>
      <c r="Z6" s="2"/>
      <c r="AA6" s="25"/>
      <c r="AB6" s="2"/>
      <c r="AC6" s="25"/>
      <c r="AD6" s="2"/>
      <c r="AE6" s="25"/>
      <c r="AF6" s="25"/>
      <c r="AG6" s="25"/>
      <c r="AH6" s="2"/>
      <c r="AI6" s="25"/>
      <c r="AJ6" s="2"/>
      <c r="AK6" s="2"/>
      <c r="AL6" s="2"/>
    </row>
    <row r="7" outlineLevel="1" hidden="0">
      <c r="A7" s="3" t="s">
        <v>15</v>
      </c>
      <c r="B7" s="4" t="s">
        <v>2</v>
      </c>
      <c r="C7" s="26" t="n">
        <v>0.167933981356104</v>
      </c>
      <c r="D7" s="4" t="n">
        <v>4269</v>
      </c>
      <c r="E7" s="26" t="n">
        <v>0.0182567311736457</v>
      </c>
      <c r="F7" s="4" t="n">
        <v>600</v>
      </c>
      <c r="G7" s="26" t="n">
        <v>0.778550756890717</v>
      </c>
      <c r="H7" s="26" t="n">
        <v>0.0262150900817664</v>
      </c>
      <c r="I7" s="26" t="n">
        <v>0.0287384178955863</v>
      </c>
      <c r="J7" s="4" t="n">
        <v>600</v>
      </c>
      <c r="K7" s="26" t="n">
        <v>0.148239003958284</v>
      </c>
      <c r="L7" s="4" t="n">
        <v>600</v>
      </c>
      <c r="M7" s="4" t="n">
        <v>600</v>
      </c>
      <c r="N7" s="4" t="n">
        <v>600</v>
      </c>
      <c r="O7" s="26" t="n">
        <v>0.149671660047175</v>
      </c>
      <c r="P7" s="4" t="n">
        <v>2193</v>
      </c>
      <c r="Q7" s="26" t="n">
        <v>0.0393698301724447</v>
      </c>
      <c r="R7" s="4" t="n">
        <v>278</v>
      </c>
      <c r="S7" s="26" t="n">
        <v>0.759443680859713</v>
      </c>
      <c r="T7" s="26" t="n">
        <v>0.0362718916613102</v>
      </c>
      <c r="U7" s="26" t="n">
        <v>0.0325715433704043</v>
      </c>
      <c r="V7" s="4" t="n">
        <v>278</v>
      </c>
      <c r="W7" s="26" t="n">
        <v>0.132343053936128</v>
      </c>
      <c r="X7" s="4" t="n">
        <v>278</v>
      </c>
      <c r="Y7" s="4" t="n">
        <v>278</v>
      </c>
      <c r="Z7" s="4" t="n">
        <v>278</v>
      </c>
      <c r="AA7" s="26" t="n">
        <v>0.186868314365321</v>
      </c>
      <c r="AB7" s="4" t="n">
        <v>2076</v>
      </c>
      <c r="AC7" s="26" t="n">
        <v>0.00138327114070627</v>
      </c>
      <c r="AD7" s="4" t="n">
        <v>322</v>
      </c>
      <c r="AE7" s="26" t="n">
        <v>0.793821015594749</v>
      </c>
      <c r="AF7" s="26" t="n">
        <v>0.0181777555568212</v>
      </c>
      <c r="AG7" s="26" t="n">
        <v>0.0256750073794768</v>
      </c>
      <c r="AH7" s="4" t="n">
        <v>322</v>
      </c>
      <c r="AI7" s="26" t="n">
        <v>0.160942950328247</v>
      </c>
      <c r="AJ7" s="4" t="n">
        <v>322</v>
      </c>
      <c r="AK7" s="4" t="n">
        <v>322</v>
      </c>
      <c r="AL7" s="5" t="n">
        <v>322</v>
      </c>
    </row>
    <row r="8">
      <c r="C8" s="29"/>
      <c r="E8" s="29"/>
      <c r="G8" s="29"/>
      <c r="H8" s="29"/>
      <c r="I8" s="29"/>
      <c r="K8" s="29"/>
      <c r="O8" s="29"/>
      <c r="Q8" s="29"/>
      <c r="S8" s="29"/>
      <c r="T8" s="29"/>
      <c r="U8" s="29"/>
      <c r="W8" s="29"/>
      <c r="AA8" s="29"/>
      <c r="AC8" s="29"/>
      <c r="AE8" s="29"/>
      <c r="AF8" s="29"/>
      <c r="AG8" s="29"/>
      <c r="AI8" s="29"/>
    </row>
    <row r="9">
      <c r="A9" s="2" t="s">
        <v>16</v>
      </c>
      <c r="B9" s="2"/>
      <c r="C9" s="25"/>
      <c r="D9" s="2"/>
      <c r="E9" s="25"/>
      <c r="F9" s="2"/>
      <c r="G9" s="25"/>
      <c r="H9" s="25"/>
      <c r="I9" s="25"/>
      <c r="J9" s="2"/>
      <c r="K9" s="25"/>
      <c r="L9" s="2"/>
      <c r="M9" s="2"/>
      <c r="N9" s="2"/>
      <c r="O9" s="25"/>
      <c r="P9" s="2"/>
      <c r="Q9" s="25"/>
      <c r="R9" s="2"/>
      <c r="S9" s="25"/>
      <c r="T9" s="25"/>
      <c r="U9" s="25"/>
      <c r="V9" s="2"/>
      <c r="W9" s="25"/>
      <c r="X9" s="2"/>
      <c r="Y9" s="2"/>
      <c r="Z9" s="2"/>
      <c r="AA9" s="25"/>
      <c r="AB9" s="2"/>
      <c r="AC9" s="25"/>
      <c r="AD9" s="2"/>
      <c r="AE9" s="25"/>
      <c r="AF9" s="25"/>
      <c r="AG9" s="25"/>
      <c r="AH9" s="2"/>
      <c r="AI9" s="25"/>
      <c r="AJ9" s="2"/>
      <c r="AK9" s="2"/>
      <c r="AL9" s="2"/>
    </row>
    <row r="10" outlineLevel="1" hidden="0">
      <c r="A10" s="6" t="s">
        <v>15</v>
      </c>
      <c r="B10" s="9" t="s">
        <v>17</v>
      </c>
      <c r="C10" s="27" t="n">
        <v>0.189943579637731</v>
      </c>
      <c r="D10" s="9" t="n">
        <v>722</v>
      </c>
      <c r="E10" s="27"/>
      <c r="F10" s="9"/>
      <c r="G10" s="27" t="n">
        <v>0.808382448331936</v>
      </c>
      <c r="H10" s="27" t="n">
        <v>0.0166301598639896</v>
      </c>
      <c r="I10" s="27"/>
      <c r="J10" s="9"/>
      <c r="K10" s="27" t="n">
        <v>0.174987391804075</v>
      </c>
      <c r="L10" s="9" t="n">
        <v>136</v>
      </c>
      <c r="M10" s="9" t="n">
        <v>136</v>
      </c>
      <c r="N10" s="9" t="n">
        <v>136</v>
      </c>
      <c r="O10" s="27" t="n">
        <v>0.189123458383902</v>
      </c>
      <c r="P10" s="9" t="n">
        <v>353</v>
      </c>
      <c r="Q10" s="27"/>
      <c r="R10" s="9"/>
      <c r="S10" s="27" t="n">
        <v>0.818911791534231</v>
      </c>
      <c r="T10" s="27"/>
      <c r="U10" s="27"/>
      <c r="V10" s="9"/>
      <c r="W10" s="27" t="n">
        <v>0.181088208465769</v>
      </c>
      <c r="X10" s="9" t="n">
        <v>65</v>
      </c>
      <c r="Y10" s="9" t="n">
        <v>65</v>
      </c>
      <c r="Z10" s="9"/>
      <c r="AA10" s="27" t="n">
        <v>0.190733293762891</v>
      </c>
      <c r="AB10" s="9" t="n">
        <v>369</v>
      </c>
      <c r="AC10" s="27"/>
      <c r="AD10" s="9"/>
      <c r="AE10" s="27" t="n">
        <v>0.798173133296178</v>
      </c>
      <c r="AF10" s="27" t="n">
        <v>0.0327548637400548</v>
      </c>
      <c r="AG10" s="27"/>
      <c r="AH10" s="9"/>
      <c r="AI10" s="27" t="n">
        <v>0.169072002963767</v>
      </c>
      <c r="AJ10" s="9" t="n">
        <v>71</v>
      </c>
      <c r="AK10" s="9" t="n">
        <v>71</v>
      </c>
      <c r="AL10" s="11" t="n">
        <v>71</v>
      </c>
    </row>
    <row r="11" outlineLevel="1" hidden="0">
      <c r="A11" s="7" t="s">
        <v>15</v>
      </c>
      <c r="B11" t="s">
        <v>18</v>
      </c>
      <c r="C11" s="29" t="n">
        <v>0.127926056243384</v>
      </c>
      <c r="D11" t="n">
        <v>1621</v>
      </c>
      <c r="E11" s="29"/>
      <c r="F11"/>
      <c r="G11" s="29" t="n">
        <v>0.806990238755388</v>
      </c>
      <c r="H11" s="29" t="n">
        <v>0.0145693397210032</v>
      </c>
      <c r="I11" s="29" t="n">
        <v>0.0133369909647356</v>
      </c>
      <c r="J11" t="n">
        <v>197</v>
      </c>
      <c r="K11" s="29" t="n">
        <v>0.165103430558873</v>
      </c>
      <c r="L11" t="n">
        <v>197</v>
      </c>
      <c r="M11" t="n">
        <v>197</v>
      </c>
      <c r="N11" t="n">
        <v>197</v>
      </c>
      <c r="O11" s="29" t="n">
        <v>0.105267345711432</v>
      </c>
      <c r="P11" t="n">
        <v>833</v>
      </c>
      <c r="Q11" s="29"/>
      <c r="R11"/>
      <c r="S11" s="29" t="n">
        <v>0.780137544030162</v>
      </c>
      <c r="T11" s="29" t="n">
        <v>0.0336745729642832</v>
      </c>
      <c r="U11" s="29" t="n">
        <v>0.0177433223874299</v>
      </c>
      <c r="V11" t="n">
        <v>86</v>
      </c>
      <c r="W11" s="29" t="n">
        <v>0.168444560618125</v>
      </c>
      <c r="X11" t="n">
        <v>86</v>
      </c>
      <c r="Y11" t="n">
        <v>86</v>
      </c>
      <c r="Z11" t="n">
        <v>86</v>
      </c>
      <c r="AA11" s="29" t="n">
        <v>0.150978453303796</v>
      </c>
      <c r="AB11" t="n">
        <v>788</v>
      </c>
      <c r="AC11" s="29"/>
      <c r="AD11"/>
      <c r="AE11" s="29" t="n">
        <v>0.82581253174891</v>
      </c>
      <c r="AF11" s="29" t="n">
        <v>0.00117760002804917</v>
      </c>
      <c r="AG11" s="29" t="n">
        <v>0.0102483899169383</v>
      </c>
      <c r="AH11" t="n">
        <v>111</v>
      </c>
      <c r="AI11" s="29" t="n">
        <v>0.162761478306103</v>
      </c>
      <c r="AJ11" t="n">
        <v>111</v>
      </c>
      <c r="AK11" t="n">
        <v>111</v>
      </c>
      <c r="AL11" s="12" t="n">
        <v>111</v>
      </c>
    </row>
    <row r="12" outlineLevel="1" hidden="0">
      <c r="A12" s="7" t="s">
        <v>15</v>
      </c>
      <c r="B12" t="s">
        <v>19</v>
      </c>
      <c r="C12" s="29" t="n">
        <v>0.1228480390152</v>
      </c>
      <c r="D12" t="n">
        <v>923</v>
      </c>
      <c r="E12" s="29"/>
      <c r="F12"/>
      <c r="G12" s="29" t="n">
        <v>0.790075575858805</v>
      </c>
      <c r="H12" s="29" t="n">
        <v>0.0498842174660553</v>
      </c>
      <c r="I12" s="29" t="n">
        <v>0.0281590535510199</v>
      </c>
      <c r="J12" t="n">
        <v>108</v>
      </c>
      <c r="K12" s="29" t="n">
        <v>0.13188115312412</v>
      </c>
      <c r="L12" t="n">
        <v>108</v>
      </c>
      <c r="M12" t="n">
        <v>108</v>
      </c>
      <c r="N12" t="n">
        <v>108</v>
      </c>
      <c r="O12" s="29" t="n">
        <v>0.101839052298125</v>
      </c>
      <c r="P12" t="n">
        <v>479</v>
      </c>
      <c r="Q12" s="29"/>
      <c r="R12"/>
      <c r="S12" s="29" t="n">
        <v>0.810831612736135</v>
      </c>
      <c r="T12" s="29" t="n">
        <v>0.0894658717887567</v>
      </c>
      <c r="U12" s="29" t="n">
        <v>0.0347488484936933</v>
      </c>
      <c r="V12" t="n">
        <v>48</v>
      </c>
      <c r="W12" s="29" t="n">
        <v>0.0649536669814146</v>
      </c>
      <c r="X12" t="n">
        <v>48</v>
      </c>
      <c r="Y12" t="n">
        <v>48</v>
      </c>
      <c r="Z12" t="n">
        <v>48</v>
      </c>
      <c r="AA12" s="29" t="n">
        <v>0.144948088993614</v>
      </c>
      <c r="AB12" t="n">
        <v>444</v>
      </c>
      <c r="AC12" s="29"/>
      <c r="AD12"/>
      <c r="AE12" s="29" t="n">
        <v>0.775459995308983</v>
      </c>
      <c r="AF12" s="29" t="n">
        <v>0.0220123814085424</v>
      </c>
      <c r="AG12" s="29" t="n">
        <v>0.0235187804892273</v>
      </c>
      <c r="AH12" t="n">
        <v>60</v>
      </c>
      <c r="AI12" s="29" t="n">
        <v>0.179008842793247</v>
      </c>
      <c r="AJ12" t="n">
        <v>60</v>
      </c>
      <c r="AK12" t="n">
        <v>60</v>
      </c>
      <c r="AL12" s="12" t="n">
        <v>60</v>
      </c>
    </row>
    <row r="13" outlineLevel="1" hidden="0">
      <c r="A13" s="8" t="s">
        <v>15</v>
      </c>
      <c r="B13" s="10" t="s">
        <v>20</v>
      </c>
      <c r="C13" s="28" t="n">
        <v>0.257627398908962</v>
      </c>
      <c r="D13" s="10" t="n">
        <v>1003</v>
      </c>
      <c r="E13" s="28" t="n">
        <v>0.0663005760398176</v>
      </c>
      <c r="F13" s="10" t="n">
        <v>159</v>
      </c>
      <c r="G13" s="28" t="n">
        <v>0.713551508021489</v>
      </c>
      <c r="H13" s="28" t="n">
        <v>0.032475681925135</v>
      </c>
      <c r="I13" s="28" t="n">
        <v>0.0700095965550322</v>
      </c>
      <c r="J13" s="10" t="n">
        <v>159</v>
      </c>
      <c r="K13" s="28" t="n">
        <v>0.117662637458526</v>
      </c>
      <c r="L13" s="10" t="n">
        <v>159</v>
      </c>
      <c r="M13" s="10" t="n">
        <v>159</v>
      </c>
      <c r="N13" s="10" t="n">
        <v>159</v>
      </c>
      <c r="O13" s="28" t="n">
        <v>0.234762334463519</v>
      </c>
      <c r="P13" s="10" t="n">
        <v>528</v>
      </c>
      <c r="Q13" s="28" t="n">
        <v>0.136289084654467</v>
      </c>
      <c r="R13" s="10" t="n">
        <v>79</v>
      </c>
      <c r="S13" s="28" t="n">
        <v>0.659274338152635</v>
      </c>
      <c r="T13" s="28" t="n">
        <v>0.0382306569847067</v>
      </c>
      <c r="U13" s="28" t="n">
        <v>0.0738299295576576</v>
      </c>
      <c r="V13" s="10" t="n">
        <v>79</v>
      </c>
      <c r="W13" s="28" t="n">
        <v>0.092375990650533</v>
      </c>
      <c r="X13" s="10" t="n">
        <v>79</v>
      </c>
      <c r="Y13" s="10" t="n">
        <v>79</v>
      </c>
      <c r="Z13" s="10" t="n">
        <v>79</v>
      </c>
      <c r="AA13" s="28" t="n">
        <v>0.28299987003351</v>
      </c>
      <c r="AB13" s="10" t="n">
        <v>475</v>
      </c>
      <c r="AC13" s="28" t="n">
        <v>0.00522840594220627</v>
      </c>
      <c r="AD13" s="10" t="n">
        <v>80</v>
      </c>
      <c r="AE13" s="28" t="n">
        <v>0.760913919598205</v>
      </c>
      <c r="AF13" s="28" t="n">
        <v>0.0274538744498417</v>
      </c>
      <c r="AG13" s="28" t="n">
        <v>0.0666759631974411</v>
      </c>
      <c r="AH13" s="10" t="n">
        <v>80</v>
      </c>
      <c r="AI13" s="28" t="n">
        <v>0.139727836812306</v>
      </c>
      <c r="AJ13" s="10" t="n">
        <v>80</v>
      </c>
      <c r="AK13" s="10" t="n">
        <v>80</v>
      </c>
      <c r="AL13" s="13" t="n">
        <v>80</v>
      </c>
    </row>
    <row r="14">
      <c r="C14" s="29"/>
      <c r="E14" s="29"/>
      <c r="G14" s="29"/>
      <c r="H14" s="29"/>
      <c r="I14" s="29"/>
      <c r="K14" s="29"/>
      <c r="O14" s="29"/>
      <c r="Q14" s="29"/>
      <c r="S14" s="29"/>
      <c r="T14" s="29"/>
      <c r="U14" s="29"/>
      <c r="W14" s="29"/>
      <c r="AA14" s="29"/>
      <c r="AC14" s="29"/>
      <c r="AE14" s="29"/>
      <c r="AF14" s="29"/>
      <c r="AG14" s="29"/>
      <c r="AI14" s="29"/>
    </row>
    <row r="15">
      <c r="A15" s="2" t="s">
        <v>21</v>
      </c>
      <c r="B15" s="2"/>
      <c r="C15" s="25"/>
      <c r="D15" s="2"/>
      <c r="E15" s="25"/>
      <c r="F15" s="2"/>
      <c r="G15" s="25"/>
      <c r="H15" s="25"/>
      <c r="I15" s="25"/>
      <c r="J15" s="2"/>
      <c r="K15" s="25"/>
      <c r="L15" s="2"/>
      <c r="M15" s="2"/>
      <c r="N15" s="2"/>
      <c r="O15" s="25"/>
      <c r="P15" s="2"/>
      <c r="Q15" s="25"/>
      <c r="R15" s="2"/>
      <c r="S15" s="25"/>
      <c r="T15" s="25"/>
      <c r="U15" s="25"/>
      <c r="V15" s="2"/>
      <c r="W15" s="25"/>
      <c r="X15" s="2"/>
      <c r="Y15" s="2"/>
      <c r="Z15" s="2"/>
      <c r="AA15" s="25"/>
      <c r="AB15" s="2"/>
      <c r="AC15" s="25"/>
      <c r="AD15" s="2"/>
      <c r="AE15" s="25"/>
      <c r="AF15" s="25"/>
      <c r="AG15" s="25"/>
      <c r="AH15" s="2"/>
      <c r="AI15" s="25"/>
      <c r="AJ15" s="2"/>
      <c r="AK15" s="2"/>
      <c r="AL15" s="2"/>
    </row>
    <row r="16" outlineLevel="1" hidden="0">
      <c r="A16" s="6" t="s">
        <v>15</v>
      </c>
      <c r="B16" s="9" t="s">
        <v>23</v>
      </c>
      <c r="C16" s="27" t="n">
        <v>0.180230353048532</v>
      </c>
      <c r="D16" s="9" t="n">
        <v>2157</v>
      </c>
      <c r="E16" s="27" t="n">
        <v>0.0241042454756052</v>
      </c>
      <c r="F16" s="9" t="n">
        <v>355</v>
      </c>
      <c r="G16" s="27" t="n">
        <v>0.796498319665972</v>
      </c>
      <c r="H16" s="27" t="n">
        <v>0.0272620040306687</v>
      </c>
      <c r="I16" s="27" t="n">
        <v>0.02932332047602</v>
      </c>
      <c r="J16" s="9" t="n">
        <v>355</v>
      </c>
      <c r="K16" s="27" t="n">
        <v>0.122812110351734</v>
      </c>
      <c r="L16" s="9" t="n">
        <v>355</v>
      </c>
      <c r="M16" s="9" t="n">
        <v>355</v>
      </c>
      <c r="N16" s="9" t="n">
        <v>355</v>
      </c>
      <c r="O16" s="27" t="n">
        <v>0.163108147001235</v>
      </c>
      <c r="P16" s="9" t="n">
        <v>1065</v>
      </c>
      <c r="Q16" s="27" t="n">
        <v>0.0521724692001055</v>
      </c>
      <c r="R16" s="9" t="n">
        <v>163</v>
      </c>
      <c r="S16" s="27" t="n">
        <v>0.783129745094276</v>
      </c>
      <c r="T16" s="27" t="n">
        <v>0.0242948324456578</v>
      </c>
      <c r="U16" s="27" t="n">
        <v>0.035676107212129</v>
      </c>
      <c r="V16" s="9" t="n">
        <v>163</v>
      </c>
      <c r="W16" s="27" t="n">
        <v>0.104726846047832</v>
      </c>
      <c r="X16" s="9" t="n">
        <v>163</v>
      </c>
      <c r="Y16" s="9" t="n">
        <v>163</v>
      </c>
      <c r="Z16" s="9" t="n">
        <v>163</v>
      </c>
      <c r="AA16" s="27" t="n">
        <v>0.196670946069822</v>
      </c>
      <c r="AB16" s="9" t="n">
        <v>1092</v>
      </c>
      <c r="AC16" s="27" t="n">
        <v>0.00230265058419877</v>
      </c>
      <c r="AD16" s="9" t="n">
        <v>192</v>
      </c>
      <c r="AE16" s="27" t="n">
        <v>0.806882170455692</v>
      </c>
      <c r="AF16" s="27" t="n">
        <v>0.0295667124976044</v>
      </c>
      <c r="AG16" s="27" t="n">
        <v>0.0243888834339191</v>
      </c>
      <c r="AH16" s="9" t="n">
        <v>192</v>
      </c>
      <c r="AI16" s="27" t="n">
        <v>0.136859583028586</v>
      </c>
      <c r="AJ16" s="9" t="n">
        <v>192</v>
      </c>
      <c r="AK16" s="9" t="n">
        <v>192</v>
      </c>
      <c r="AL16" s="11" t="n">
        <v>192</v>
      </c>
    </row>
    <row r="17" outlineLevel="1" hidden="0">
      <c r="A17" s="8" t="s">
        <v>15</v>
      </c>
      <c r="B17" s="10" t="s">
        <v>24</v>
      </c>
      <c r="C17" s="28" t="n">
        <v>0.153432593899877</v>
      </c>
      <c r="D17" s="10" t="n">
        <v>2109</v>
      </c>
      <c r="E17" s="28" t="n">
        <v>0.00972871366447534</v>
      </c>
      <c r="F17" s="10" t="n">
        <v>245</v>
      </c>
      <c r="G17" s="28" t="n">
        <v>0.752376023202076</v>
      </c>
      <c r="H17" s="28" t="n">
        <v>0.0246882703040291</v>
      </c>
      <c r="I17" s="28" t="n">
        <v>0.0278853957070941</v>
      </c>
      <c r="J17" s="10" t="n">
        <v>245</v>
      </c>
      <c r="K17" s="28" t="n">
        <v>0.185321597122325</v>
      </c>
      <c r="L17" s="10" t="n">
        <v>245</v>
      </c>
      <c r="M17" s="10" t="n">
        <v>245</v>
      </c>
      <c r="N17" s="10" t="n">
        <v>245</v>
      </c>
      <c r="O17" s="28" t="n">
        <v>0.13507670994937</v>
      </c>
      <c r="P17" s="10" t="n">
        <v>1126</v>
      </c>
      <c r="Q17" s="28" t="n">
        <v>0.021408070684292</v>
      </c>
      <c r="R17" s="10" t="n">
        <v>115</v>
      </c>
      <c r="S17" s="28" t="n">
        <v>0.726212767445457</v>
      </c>
      <c r="T17" s="28" t="n">
        <v>0.0530753847959767</v>
      </c>
      <c r="U17" s="28" t="n">
        <v>0.0282159234923311</v>
      </c>
      <c r="V17" s="10" t="n">
        <v>115</v>
      </c>
      <c r="W17" s="28" t="n">
        <v>0.171087853581943</v>
      </c>
      <c r="X17" s="10" t="n">
        <v>115</v>
      </c>
      <c r="Y17" s="10" t="n">
        <v>115</v>
      </c>
      <c r="Z17" s="10" t="n">
        <v>115</v>
      </c>
      <c r="AA17" s="28" t="n">
        <v>0.17427224814387</v>
      </c>
      <c r="AB17" s="10" t="n">
        <v>983</v>
      </c>
      <c r="AC17" s="28"/>
      <c r="AD17" s="10"/>
      <c r="AE17" s="28" t="n">
        <v>0.774169587980917</v>
      </c>
      <c r="AF17" s="28" t="n">
        <v>0.0010422675160117</v>
      </c>
      <c r="AG17" s="28" t="n">
        <v>0.0276100714597688</v>
      </c>
      <c r="AH17" s="10" t="n">
        <v>130</v>
      </c>
      <c r="AI17" s="28" t="n">
        <v>0.197178073043302</v>
      </c>
      <c r="AJ17" s="10" t="n">
        <v>130</v>
      </c>
      <c r="AK17" s="10" t="n">
        <v>130</v>
      </c>
      <c r="AL17" s="13" t="n">
        <v>130</v>
      </c>
    </row>
    <row r="18">
      <c r="C18" s="29"/>
      <c r="E18" s="29"/>
      <c r="G18" s="29"/>
      <c r="H18" s="29"/>
      <c r="I18" s="29"/>
      <c r="K18" s="29"/>
      <c r="O18" s="29"/>
      <c r="Q18" s="29"/>
      <c r="S18" s="29"/>
      <c r="T18" s="29"/>
      <c r="U18" s="29"/>
      <c r="W18" s="29"/>
      <c r="AA18" s="29"/>
      <c r="AC18" s="29"/>
      <c r="AE18" s="29"/>
      <c r="AF18" s="29"/>
      <c r="AG18" s="29"/>
      <c r="AI18" s="29"/>
    </row>
    <row r="19">
      <c r="A19" s="2" t="s">
        <v>25</v>
      </c>
      <c r="B19" s="2"/>
      <c r="C19" s="25"/>
      <c r="D19" s="2"/>
      <c r="E19" s="25"/>
      <c r="F19" s="2"/>
      <c r="G19" s="25"/>
      <c r="H19" s="25"/>
      <c r="I19" s="25"/>
      <c r="J19" s="2"/>
      <c r="K19" s="25"/>
      <c r="L19" s="2"/>
      <c r="M19" s="2"/>
      <c r="N19" s="2"/>
      <c r="O19" s="25"/>
      <c r="P19" s="2"/>
      <c r="Q19" s="25"/>
      <c r="R19" s="2"/>
      <c r="S19" s="25"/>
      <c r="T19" s="25"/>
      <c r="U19" s="25"/>
      <c r="V19" s="2"/>
      <c r="W19" s="25"/>
      <c r="X19" s="2"/>
      <c r="Y19" s="2"/>
      <c r="Z19" s="2"/>
      <c r="AA19" s="25"/>
      <c r="AB19" s="2"/>
      <c r="AC19" s="25"/>
      <c r="AD19" s="2"/>
      <c r="AE19" s="25"/>
      <c r="AF19" s="25"/>
      <c r="AG19" s="25"/>
      <c r="AH19" s="2"/>
      <c r="AI19" s="25"/>
      <c r="AJ19" s="2"/>
      <c r="AK19" s="2"/>
      <c r="AL19" s="2"/>
    </row>
    <row r="20" outlineLevel="1" hidden="0">
      <c r="A20" s="6" t="s">
        <v>15</v>
      </c>
      <c r="B20" s="9" t="s">
        <v>26</v>
      </c>
      <c r="C20" s="27" t="n">
        <v>0.144041581527363</v>
      </c>
      <c r="D20" s="9" t="n">
        <v>902</v>
      </c>
      <c r="E20" s="27" t="n">
        <v>0.031884883372563</v>
      </c>
      <c r="F20" s="9" t="n">
        <v>120</v>
      </c>
      <c r="G20" s="27" t="n">
        <v>0.69838002744175</v>
      </c>
      <c r="H20" s="27" t="n">
        <v>0.0317133607750832</v>
      </c>
      <c r="I20" s="27" t="n">
        <v>0.00792834019377081</v>
      </c>
      <c r="J20" s="9" t="n">
        <v>120</v>
      </c>
      <c r="K20" s="27" t="n">
        <v>0.230093388216833</v>
      </c>
      <c r="L20" s="9" t="n">
        <v>120</v>
      </c>
      <c r="M20" s="9" t="n">
        <v>120</v>
      </c>
      <c r="N20" s="9" t="n">
        <v>120</v>
      </c>
      <c r="O20" s="27" t="n">
        <v>0.123902754964398</v>
      </c>
      <c r="P20" s="9" t="n">
        <v>486</v>
      </c>
      <c r="Q20" s="27" t="n">
        <v>0.0705014673416727</v>
      </c>
      <c r="R20" s="9" t="n">
        <v>55</v>
      </c>
      <c r="S20" s="27" t="n">
        <v>0.666540247357311</v>
      </c>
      <c r="T20" s="27" t="n">
        <v>0.0701222094136045</v>
      </c>
      <c r="U20" s="27"/>
      <c r="V20" s="9"/>
      <c r="W20" s="27" t="n">
        <v>0.192836075887412</v>
      </c>
      <c r="X20" s="9" t="n">
        <v>55</v>
      </c>
      <c r="Y20" s="9" t="n">
        <v>55</v>
      </c>
      <c r="Z20" s="9" t="n">
        <v>55</v>
      </c>
      <c r="AA20" s="27" t="n">
        <v>0.167121356044342</v>
      </c>
      <c r="AB20" s="9" t="n">
        <v>416</v>
      </c>
      <c r="AC20" s="27"/>
      <c r="AD20" s="9"/>
      <c r="AE20" s="27" t="n">
        <v>0.724669449504884</v>
      </c>
      <c r="AF20" s="27"/>
      <c r="AG20" s="27" t="n">
        <v>0.0144746002829232</v>
      </c>
      <c r="AH20" s="9" t="n">
        <v>65</v>
      </c>
      <c r="AI20" s="27" t="n">
        <v>0.260855950212192</v>
      </c>
      <c r="AJ20" s="9" t="n">
        <v>65</v>
      </c>
      <c r="AK20" s="9" t="n">
        <v>65</v>
      </c>
      <c r="AL20" s="11"/>
    </row>
    <row r="21" outlineLevel="1" hidden="0">
      <c r="A21" s="7" t="s">
        <v>15</v>
      </c>
      <c r="B21" t="s">
        <v>27</v>
      </c>
      <c r="C21" s="29" t="n">
        <v>0.217413372463663</v>
      </c>
      <c r="D21" t="n">
        <v>451</v>
      </c>
      <c r="E21" s="29" t="n">
        <v>0.0166564568529131</v>
      </c>
      <c r="F21" t="n">
        <v>72</v>
      </c>
      <c r="G21" s="29" t="n">
        <v>0.866748345176695</v>
      </c>
      <c r="H21" s="29" t="n">
        <v>0.0166564568529131</v>
      </c>
      <c r="I21" s="29"/>
      <c r="J21"/>
      <c r="K21" s="29" t="n">
        <v>0.0999387411174789</v>
      </c>
      <c r="L21" t="n">
        <v>72</v>
      </c>
      <c r="M21" t="n">
        <v>72</v>
      </c>
      <c r="N21" t="n">
        <v>72</v>
      </c>
      <c r="O21" s="29" t="n">
        <v>0.238818931820198</v>
      </c>
      <c r="P21" t="n">
        <v>215</v>
      </c>
      <c r="Q21" s="29" t="n">
        <v>0.035059442735763</v>
      </c>
      <c r="R21" t="n">
        <v>36</v>
      </c>
      <c r="S21" s="29" t="n">
        <v>0.859762229056948</v>
      </c>
      <c r="T21" s="29"/>
      <c r="U21" s="29"/>
      <c r="V21"/>
      <c r="W21" s="29" t="n">
        <v>0.105178328207289</v>
      </c>
      <c r="X21" t="n">
        <v>36</v>
      </c>
      <c r="Y21" t="n">
        <v>36</v>
      </c>
      <c r="Z21"/>
      <c r="AA21" s="29" t="n">
        <v>0.199524766772625</v>
      </c>
      <c r="AB21" t="n">
        <v>236</v>
      </c>
      <c r="AC21" s="29"/>
      <c r="AD21"/>
      <c r="AE21" s="29" t="n">
        <v>0.873071446354882</v>
      </c>
      <c r="AF21" s="29" t="n">
        <v>0.0317321384112796</v>
      </c>
      <c r="AG21" s="29"/>
      <c r="AH21"/>
      <c r="AI21" s="29" t="n">
        <v>0.0951964152338387</v>
      </c>
      <c r="AJ21" t="n">
        <v>36</v>
      </c>
      <c r="AK21" t="n">
        <v>36</v>
      </c>
      <c r="AL21" s="12" t="n">
        <v>36</v>
      </c>
    </row>
    <row r="22" outlineLevel="1" hidden="0">
      <c r="A22" s="7" t="s">
        <v>15</v>
      </c>
      <c r="B22" t="s">
        <v>28</v>
      </c>
      <c r="C22" s="29" t="n">
        <v>0.149835017048143</v>
      </c>
      <c r="D22" t="n">
        <v>378</v>
      </c>
      <c r="E22" s="29" t="n">
        <v>0.0196641991484725</v>
      </c>
      <c r="F22" t="n">
        <v>43</v>
      </c>
      <c r="G22" s="29" t="n">
        <v>0.603932839829694</v>
      </c>
      <c r="H22" s="29" t="n">
        <v>0.0775253298392993</v>
      </c>
      <c r="I22" s="29" t="n">
        <v>0.136517927284717</v>
      </c>
      <c r="J22" t="n">
        <v>43</v>
      </c>
      <c r="K22" s="29" t="n">
        <v>0.162359703897817</v>
      </c>
      <c r="L22" t="n">
        <v>43</v>
      </c>
      <c r="M22" t="n">
        <v>43</v>
      </c>
      <c r="N22" t="n">
        <v>43</v>
      </c>
      <c r="O22" s="29" t="n">
        <v>0.14737504081787</v>
      </c>
      <c r="P22" t="n">
        <v>191</v>
      </c>
      <c r="Q22" s="29" t="n">
        <v>0.0420701150534651</v>
      </c>
      <c r="R22" t="n">
        <v>20</v>
      </c>
      <c r="S22" s="29" t="n">
        <v>0.555286589964357</v>
      </c>
      <c r="T22" s="29" t="n">
        <v>0.110573179928713</v>
      </c>
      <c r="U22" s="29" t="n">
        <v>0.194713410035643</v>
      </c>
      <c r="V22" t="n">
        <v>20</v>
      </c>
      <c r="W22" s="29" t="n">
        <v>0.0973567050178217</v>
      </c>
      <c r="X22" t="n">
        <v>20</v>
      </c>
      <c r="Y22" t="n">
        <v>20</v>
      </c>
      <c r="Z22" t="n">
        <v>20</v>
      </c>
      <c r="AA22" s="29" t="n">
        <v>0.152304732063911</v>
      </c>
      <c r="AB22" t="n">
        <v>187</v>
      </c>
      <c r="AC22" s="29"/>
      <c r="AD22"/>
      <c r="AE22" s="29" t="n">
        <v>0.646626454731874</v>
      </c>
      <c r="AF22" s="29" t="n">
        <v>0.0485214047892059</v>
      </c>
      <c r="AG22" s="29" t="n">
        <v>0.0854435785632382</v>
      </c>
      <c r="AH22" t="n">
        <v>23</v>
      </c>
      <c r="AI22" s="29" t="n">
        <v>0.219408561915682</v>
      </c>
      <c r="AJ22" t="n">
        <v>23</v>
      </c>
      <c r="AK22" t="n">
        <v>23</v>
      </c>
      <c r="AL22" s="12" t="n">
        <v>23</v>
      </c>
    </row>
    <row r="23" outlineLevel="1" hidden="0">
      <c r="A23" s="7" t="s">
        <v>15</v>
      </c>
      <c r="B23" t="s">
        <v>29</v>
      </c>
      <c r="C23" s="29" t="n">
        <v>0.17845674953958</v>
      </c>
      <c r="D23" t="n">
        <v>358</v>
      </c>
      <c r="E23" s="29" t="n">
        <v>0.0555443122048303</v>
      </c>
      <c r="F23" t="n">
        <v>57</v>
      </c>
      <c r="G23" s="29" t="n">
        <v>0.68518143740161</v>
      </c>
      <c r="H23" s="29"/>
      <c r="I23" s="29" t="n">
        <v>0.0144153683725897</v>
      </c>
      <c r="J23" t="n">
        <v>57</v>
      </c>
      <c r="K23" s="29" t="n">
        <v>0.24485888202097</v>
      </c>
      <c r="L23" t="n">
        <v>57</v>
      </c>
      <c r="M23" t="n">
        <v>57</v>
      </c>
      <c r="N23"/>
      <c r="O23" s="29" t="n">
        <v>0.152521173524846</v>
      </c>
      <c r="P23" t="n">
        <v>197</v>
      </c>
      <c r="Q23" s="29" t="n">
        <v>0.0829151288775779</v>
      </c>
      <c r="R23" t="n">
        <v>25</v>
      </c>
      <c r="S23" s="29" t="n">
        <v>0.648745386632734</v>
      </c>
      <c r="T23" s="29"/>
      <c r="U23" s="29" t="n">
        <v>0.0341697422448442</v>
      </c>
      <c r="V23" t="n">
        <v>25</v>
      </c>
      <c r="W23" s="29" t="n">
        <v>0.234169742244844</v>
      </c>
      <c r="X23" t="n">
        <v>25</v>
      </c>
      <c r="Y23" t="n">
        <v>25</v>
      </c>
      <c r="Z23"/>
      <c r="AA23" s="29" t="n">
        <v>0.211119800207483</v>
      </c>
      <c r="AB23" t="n">
        <v>161</v>
      </c>
      <c r="AC23" s="29" t="n">
        <v>0.0355709935085365</v>
      </c>
      <c r="AD23" t="n">
        <v>32</v>
      </c>
      <c r="AE23" s="29" t="n">
        <v>0.711769933563133</v>
      </c>
      <c r="AF23" s="29"/>
      <c r="AG23" s="29"/>
      <c r="AH23"/>
      <c r="AI23" s="29" t="n">
        <v>0.25265907292833</v>
      </c>
      <c r="AJ23" t="n">
        <v>32</v>
      </c>
      <c r="AK23" t="n">
        <v>32</v>
      </c>
      <c r="AL23" s="12"/>
    </row>
    <row r="24" outlineLevel="1" hidden="0">
      <c r="A24" s="7" t="s">
        <v>15</v>
      </c>
      <c r="B24" t="s">
        <v>30</v>
      </c>
      <c r="C24" s="29" t="n">
        <v>0.153402147636301</v>
      </c>
      <c r="D24" t="n">
        <v>300</v>
      </c>
      <c r="E24" s="29"/>
      <c r="F24"/>
      <c r="G24" s="29" t="n">
        <v>0.892348717422815</v>
      </c>
      <c r="H24" s="29" t="n">
        <v>0.0281732197822549</v>
      </c>
      <c r="I24" s="29"/>
      <c r="J24"/>
      <c r="K24" s="29" t="n">
        <v>0.07947806279493</v>
      </c>
      <c r="L24" t="n">
        <v>38</v>
      </c>
      <c r="M24" t="n">
        <v>38</v>
      </c>
      <c r="N24" t="n">
        <v>38</v>
      </c>
      <c r="O24" s="29" t="n">
        <v>0.124694977736726</v>
      </c>
      <c r="P24" t="n">
        <v>157</v>
      </c>
      <c r="Q24" s="29"/>
      <c r="R24"/>
      <c r="S24" s="29" t="n">
        <v>0.933797852617823</v>
      </c>
      <c r="T24" s="29"/>
      <c r="U24" s="29"/>
      <c r="V24"/>
      <c r="W24" s="29" t="n">
        <v>0.0662021473821776</v>
      </c>
      <c r="X24" t="n">
        <v>16</v>
      </c>
      <c r="Y24" t="n">
        <v>16</v>
      </c>
      <c r="Z24"/>
      <c r="AA24" s="29" t="n">
        <v>0.184546299985589</v>
      </c>
      <c r="AB24" t="n">
        <v>143</v>
      </c>
      <c r="AC24" s="29"/>
      <c r="AD24"/>
      <c r="AE24" s="29" t="n">
        <v>0.861641682822247</v>
      </c>
      <c r="AF24" s="29" t="n">
        <v>0.049044970919956</v>
      </c>
      <c r="AG24" s="29"/>
      <c r="AH24"/>
      <c r="AI24" s="29" t="n">
        <v>0.0893133462577973</v>
      </c>
      <c r="AJ24" t="n">
        <v>22</v>
      </c>
      <c r="AK24" t="n">
        <v>22</v>
      </c>
      <c r="AL24" s="12" t="n">
        <v>22</v>
      </c>
    </row>
    <row r="25" outlineLevel="1" hidden="0">
      <c r="A25" s="7" t="s">
        <v>15</v>
      </c>
      <c r="B25" t="s">
        <v>31</v>
      </c>
      <c r="C25" s="29" t="n">
        <v>0.31093089750638</v>
      </c>
      <c r="D25" t="n">
        <v>410</v>
      </c>
      <c r="E25" s="29" t="n">
        <v>0.0134291619844345</v>
      </c>
      <c r="F25" t="n">
        <v>113</v>
      </c>
      <c r="G25" s="29" t="n">
        <v>0.854236246849843</v>
      </c>
      <c r="H25" s="29"/>
      <c r="I25" s="29" t="n">
        <v>0.0728818765750782</v>
      </c>
      <c r="J25" t="n">
        <v>113</v>
      </c>
      <c r="K25" s="29" t="n">
        <v>0.0594527145906438</v>
      </c>
      <c r="L25" t="n">
        <v>113</v>
      </c>
      <c r="M25" t="n">
        <v>113</v>
      </c>
      <c r="N25"/>
      <c r="O25" s="29" t="n">
        <v>0.268696619571265</v>
      </c>
      <c r="P25" t="n">
        <v>214</v>
      </c>
      <c r="Q25" s="29" t="n">
        <v>0.031062210328248</v>
      </c>
      <c r="R25" t="n">
        <v>55</v>
      </c>
      <c r="S25" s="29" t="n">
        <v>0.818153426777305</v>
      </c>
      <c r="T25" s="29"/>
      <c r="U25" s="29" t="n">
        <v>0.0753921814472237</v>
      </c>
      <c r="V25" t="n">
        <v>55</v>
      </c>
      <c r="W25" s="29" t="n">
        <v>0.0753921814472237</v>
      </c>
      <c r="X25" t="n">
        <v>55</v>
      </c>
      <c r="Y25" t="n">
        <v>55</v>
      </c>
      <c r="Z25"/>
      <c r="AA25" s="29" t="n">
        <v>0.350891116906301</v>
      </c>
      <c r="AB25" t="n">
        <v>196</v>
      </c>
      <c r="AC25" s="29"/>
      <c r="AD25"/>
      <c r="AE25" s="29" t="n">
        <v>0.881716579584219</v>
      </c>
      <c r="AF25" s="29"/>
      <c r="AG25" s="29" t="n">
        <v>0.0709700522494684</v>
      </c>
      <c r="AH25" t="n">
        <v>58</v>
      </c>
      <c r="AI25" s="29" t="n">
        <v>0.0473133681663123</v>
      </c>
      <c r="AJ25" t="n">
        <v>58</v>
      </c>
      <c r="AK25" t="n">
        <v>58</v>
      </c>
      <c r="AL25" s="12"/>
    </row>
    <row r="26" outlineLevel="1" hidden="0">
      <c r="A26" s="7" t="s">
        <v>15</v>
      </c>
      <c r="B26" t="s">
        <v>32</v>
      </c>
      <c r="C26" s="29" t="n">
        <v>0.144620794295923</v>
      </c>
      <c r="D26" t="n">
        <v>324</v>
      </c>
      <c r="E26" s="29" t="n">
        <v>0.0157755044807651</v>
      </c>
      <c r="F26" t="n">
        <v>39</v>
      </c>
      <c r="G26" s="29" t="n">
        <v>0.873028061939904</v>
      </c>
      <c r="H26" s="29" t="n">
        <v>0.0398227123089001</v>
      </c>
      <c r="I26" s="29" t="n">
        <v>0.0157755044807651</v>
      </c>
      <c r="J26" t="n">
        <v>39</v>
      </c>
      <c r="K26" s="29" t="n">
        <v>0.0555982167896653</v>
      </c>
      <c r="L26" t="n">
        <v>39</v>
      </c>
      <c r="M26" t="n">
        <v>39</v>
      </c>
      <c r="N26" t="n">
        <v>39</v>
      </c>
      <c r="O26" s="29" t="n">
        <v>0.112170288613391</v>
      </c>
      <c r="P26" t="n">
        <v>159</v>
      </c>
      <c r="Q26" s="29" t="n">
        <v>0.0473993095117252</v>
      </c>
      <c r="R26" t="n">
        <v>15</v>
      </c>
      <c r="S26" s="29" t="n">
        <v>0.738150172622069</v>
      </c>
      <c r="T26" s="29"/>
      <c r="U26" s="29" t="n">
        <v>0.0473993095117252</v>
      </c>
      <c r="V26" t="n">
        <v>15</v>
      </c>
      <c r="W26" s="29" t="n">
        <v>0.167051208354481</v>
      </c>
      <c r="X26" t="n">
        <v>15</v>
      </c>
      <c r="Y26" t="n">
        <v>15</v>
      </c>
      <c r="Z26"/>
      <c r="AA26" s="29" t="n">
        <v>0.173192327868974</v>
      </c>
      <c r="AB26" t="n">
        <v>165</v>
      </c>
      <c r="AC26" s="29"/>
      <c r="AD26"/>
      <c r="AE26" s="29" t="n">
        <v>0.940311766263484</v>
      </c>
      <c r="AF26" s="29" t="n">
        <v>0.0596882337365157</v>
      </c>
      <c r="AG26" s="29"/>
      <c r="AH26"/>
      <c r="AI26" s="29"/>
      <c r="AJ26"/>
      <c r="AK26" t="n">
        <v>24</v>
      </c>
      <c r="AL26" s="12" t="n">
        <v>24</v>
      </c>
    </row>
    <row r="27" outlineLevel="1" hidden="0">
      <c r="A27" s="7" t="s">
        <v>15</v>
      </c>
      <c r="B27" t="s">
        <v>33</v>
      </c>
      <c r="C27" s="29" t="n">
        <v>0.0960959500670713</v>
      </c>
      <c r="D27" t="n">
        <v>333</v>
      </c>
      <c r="E27" s="29"/>
      <c r="F27"/>
      <c r="G27" s="29" t="n">
        <v>1</v>
      </c>
      <c r="H27" s="29"/>
      <c r="I27" s="29"/>
      <c r="J27"/>
      <c r="K27" s="29"/>
      <c r="L27"/>
      <c r="M27" t="n">
        <v>17</v>
      </c>
      <c r="N27"/>
      <c r="O27" s="29" t="n">
        <v>0.0767292352218702</v>
      </c>
      <c r="P27" t="n">
        <v>162</v>
      </c>
      <c r="Q27" s="29"/>
      <c r="R27"/>
      <c r="S27" s="29" t="n">
        <v>1</v>
      </c>
      <c r="T27" s="29"/>
      <c r="U27" s="29"/>
      <c r="V27"/>
      <c r="W27" s="29"/>
      <c r="X27"/>
      <c r="Y27" t="n">
        <v>6</v>
      </c>
      <c r="Z27"/>
      <c r="AA27" s="29" t="n">
        <v>0.111951201719434</v>
      </c>
      <c r="AB27" t="n">
        <v>171</v>
      </c>
      <c r="AC27" s="29"/>
      <c r="AD27"/>
      <c r="AE27" s="29" t="n">
        <v>1</v>
      </c>
      <c r="AF27" s="29"/>
      <c r="AG27" s="29"/>
      <c r="AH27"/>
      <c r="AI27" s="29"/>
      <c r="AJ27"/>
      <c r="AK27" t="n">
        <v>11</v>
      </c>
      <c r="AL27" s="12"/>
    </row>
    <row r="28" outlineLevel="1" hidden="0">
      <c r="A28" s="7" t="s">
        <v>15</v>
      </c>
      <c r="B28" t="s">
        <v>34</v>
      </c>
      <c r="C28" s="29" t="n">
        <v>0.236787688826553</v>
      </c>
      <c r="D28" t="n">
        <v>399</v>
      </c>
      <c r="E28" s="29"/>
      <c r="F28"/>
      <c r="G28" s="29" t="n">
        <v>0.766716523664817</v>
      </c>
      <c r="H28" s="29" t="n">
        <v>0.0232600925727109</v>
      </c>
      <c r="I28" s="29" t="n">
        <v>0.0232600925727109</v>
      </c>
      <c r="J28" t="n">
        <v>69</v>
      </c>
      <c r="K28" s="29" t="n">
        <v>0.186763291189761</v>
      </c>
      <c r="L28" t="n">
        <v>69</v>
      </c>
      <c r="M28" t="n">
        <v>69</v>
      </c>
      <c r="N28" t="n">
        <v>69</v>
      </c>
      <c r="O28" s="29" t="n">
        <v>0.228773241879476</v>
      </c>
      <c r="P28" t="n">
        <v>205</v>
      </c>
      <c r="Q28" s="29"/>
      <c r="R28"/>
      <c r="S28" s="29" t="n">
        <v>0.808325632868478</v>
      </c>
      <c r="T28" s="29" t="n">
        <v>0.0386342635095848</v>
      </c>
      <c r="U28" s="29" t="n">
        <v>0.0123791043643943</v>
      </c>
      <c r="V28" t="n">
        <v>32</v>
      </c>
      <c r="W28" s="29" t="n">
        <v>0.140660999257543</v>
      </c>
      <c r="X28" t="n">
        <v>32</v>
      </c>
      <c r="Y28" t="n">
        <v>32</v>
      </c>
      <c r="Z28" t="n">
        <v>32</v>
      </c>
      <c r="AA28" s="29" t="n">
        <v>0.244644158542916</v>
      </c>
      <c r="AB28" t="n">
        <v>194</v>
      </c>
      <c r="AC28" s="29"/>
      <c r="AD28"/>
      <c r="AE28" s="29" t="n">
        <v>0.731843820481529</v>
      </c>
      <c r="AF28" s="29" t="n">
        <v>0.0103749597248403</v>
      </c>
      <c r="AG28" s="29" t="n">
        <v>0.0323794772313013</v>
      </c>
      <c r="AH28" t="n">
        <v>37</v>
      </c>
      <c r="AI28" s="29" t="n">
        <v>0.225401742562329</v>
      </c>
      <c r="AJ28" t="n">
        <v>37</v>
      </c>
      <c r="AK28" t="n">
        <v>37</v>
      </c>
      <c r="AL28" s="12" t="n">
        <v>37</v>
      </c>
    </row>
    <row r="29" outlineLevel="1" hidden="0">
      <c r="A29" s="8" t="s">
        <v>15</v>
      </c>
      <c r="B29" s="10" t="s">
        <v>35</v>
      </c>
      <c r="C29" s="28" t="n">
        <v>0.0874144706353921</v>
      </c>
      <c r="D29" s="10" t="n">
        <v>414</v>
      </c>
      <c r="E29" s="28" t="n">
        <v>0.0117483678340253</v>
      </c>
      <c r="F29" s="10" t="n">
        <v>32</v>
      </c>
      <c r="G29" s="28" t="n">
        <v>0.867840251499145</v>
      </c>
      <c r="H29" s="28" t="n">
        <v>0.0117483678340253</v>
      </c>
      <c r="I29" s="28"/>
      <c r="J29" s="10"/>
      <c r="K29" s="28" t="n">
        <v>0.108663012832804</v>
      </c>
      <c r="L29" s="10" t="n">
        <v>32</v>
      </c>
      <c r="M29" s="10" t="n">
        <v>32</v>
      </c>
      <c r="N29" s="10" t="n">
        <v>32</v>
      </c>
      <c r="O29" s="28" t="n">
        <v>0.0992922697307126</v>
      </c>
      <c r="P29" s="10" t="n">
        <v>207</v>
      </c>
      <c r="Q29" s="28" t="n">
        <v>0.0203062161735366</v>
      </c>
      <c r="R29" s="10" t="n">
        <v>18</v>
      </c>
      <c r="S29" s="28" t="n">
        <v>0.875632540591756</v>
      </c>
      <c r="T29" s="28"/>
      <c r="U29" s="28"/>
      <c r="V29" s="10"/>
      <c r="W29" s="28" t="n">
        <v>0.104061243234707</v>
      </c>
      <c r="X29" s="10" t="n">
        <v>18</v>
      </c>
      <c r="Y29" s="10" t="n">
        <v>18</v>
      </c>
      <c r="Z29" s="10"/>
      <c r="AA29" s="28" t="n">
        <v>0.0751878343675045</v>
      </c>
      <c r="AB29" s="10" t="n">
        <v>207</v>
      </c>
      <c r="AC29" s="28"/>
      <c r="AD29" s="10"/>
      <c r="AE29" s="28" t="n">
        <v>0.857142857142857</v>
      </c>
      <c r="AF29" s="28" t="n">
        <v>0.027876738107463</v>
      </c>
      <c r="AG29" s="28"/>
      <c r="AH29" s="10"/>
      <c r="AI29" s="28" t="n">
        <v>0.11498040474968</v>
      </c>
      <c r="AJ29" s="10" t="n">
        <v>14</v>
      </c>
      <c r="AK29" s="10" t="n">
        <v>14</v>
      </c>
      <c r="AL29" s="13" t="n">
        <v>14</v>
      </c>
    </row>
    <row r="30">
      <c r="C30" s="29"/>
      <c r="E30" s="29"/>
      <c r="G30" s="29"/>
      <c r="H30" s="29"/>
      <c r="I30" s="29"/>
      <c r="K30" s="29"/>
      <c r="O30" s="29"/>
      <c r="Q30" s="29"/>
      <c r="S30" s="29"/>
      <c r="T30" s="29"/>
      <c r="U30" s="29"/>
      <c r="W30" s="29"/>
      <c r="AA30" s="29"/>
      <c r="AC30" s="29"/>
      <c r="AE30" s="29"/>
      <c r="AF30" s="29"/>
      <c r="AG30" s="29"/>
      <c r="AI30" s="29"/>
    </row>
    <row r="31">
      <c r="A31" s="2" t="s">
        <v>36</v>
      </c>
      <c r="B31" s="2"/>
      <c r="C31" s="25"/>
      <c r="D31" s="2"/>
      <c r="E31" s="25"/>
      <c r="F31" s="2"/>
      <c r="G31" s="25"/>
      <c r="H31" s="25"/>
      <c r="I31" s="25"/>
      <c r="J31" s="2"/>
      <c r="K31" s="25"/>
      <c r="L31" s="2"/>
      <c r="M31" s="2"/>
      <c r="N31" s="2"/>
      <c r="O31" s="25"/>
      <c r="P31" s="2"/>
      <c r="Q31" s="25"/>
      <c r="R31" s="2"/>
      <c r="S31" s="25"/>
      <c r="T31" s="25"/>
      <c r="U31" s="25"/>
      <c r="V31" s="2"/>
      <c r="W31" s="25"/>
      <c r="X31" s="2"/>
      <c r="Y31" s="2"/>
      <c r="Z31" s="2"/>
      <c r="AA31" s="25"/>
      <c r="AB31" s="2"/>
      <c r="AC31" s="25"/>
      <c r="AD31" s="2"/>
      <c r="AE31" s="25"/>
      <c r="AF31" s="25"/>
      <c r="AG31" s="25"/>
      <c r="AH31" s="2"/>
      <c r="AI31" s="25"/>
      <c r="AJ31" s="2"/>
      <c r="AK31" s="2"/>
      <c r="AL31" s="2"/>
    </row>
    <row r="32" outlineLevel="1" hidden="0">
      <c r="A32" s="6" t="s">
        <v>15</v>
      </c>
      <c r="B32" s="9" t="s">
        <v>37</v>
      </c>
      <c r="C32" s="27" t="n">
        <v>0.184210526315789</v>
      </c>
      <c r="D32" s="9" t="n">
        <v>152</v>
      </c>
      <c r="E32" s="27"/>
      <c r="F32" s="9"/>
      <c r="G32" s="27" t="n">
        <v>0.875</v>
      </c>
      <c r="H32" s="27" t="n">
        <v>0.0416666666666667</v>
      </c>
      <c r="I32" s="27"/>
      <c r="J32" s="9"/>
      <c r="K32" s="27" t="n">
        <v>0.0833333333333333</v>
      </c>
      <c r="L32" s="9" t="n">
        <v>24</v>
      </c>
      <c r="M32" s="9" t="n">
        <v>24</v>
      </c>
      <c r="N32" s="9" t="n">
        <v>24</v>
      </c>
      <c r="O32" s="27" t="n">
        <v>0.16</v>
      </c>
      <c r="P32" s="9" t="n">
        <v>75</v>
      </c>
      <c r="Q32" s="27"/>
      <c r="R32" s="9"/>
      <c r="S32" s="27" t="n">
        <v>0.909090909090909</v>
      </c>
      <c r="T32" s="27"/>
      <c r="U32" s="27"/>
      <c r="V32" s="9"/>
      <c r="W32" s="27" t="n">
        <v>0.0909090909090909</v>
      </c>
      <c r="X32" s="9" t="n">
        <v>11</v>
      </c>
      <c r="Y32" s="9" t="n">
        <v>11</v>
      </c>
      <c r="Z32" s="9"/>
      <c r="AA32" s="27" t="n">
        <v>0.207792207792208</v>
      </c>
      <c r="AB32" s="9" t="n">
        <v>77</v>
      </c>
      <c r="AC32" s="27"/>
      <c r="AD32" s="9"/>
      <c r="AE32" s="27" t="n">
        <v>0.846153846153846</v>
      </c>
      <c r="AF32" s="27" t="n">
        <v>0.0769230769230769</v>
      </c>
      <c r="AG32" s="27"/>
      <c r="AH32" s="9"/>
      <c r="AI32" s="27" t="n">
        <v>0.0769230769230769</v>
      </c>
      <c r="AJ32" s="9" t="n">
        <v>13</v>
      </c>
      <c r="AK32" s="9" t="n">
        <v>13</v>
      </c>
      <c r="AL32" s="11" t="n">
        <v>13</v>
      </c>
    </row>
    <row r="33" outlineLevel="1" hidden="0">
      <c r="A33" s="7" t="s">
        <v>15</v>
      </c>
      <c r="B33" t="s">
        <v>38</v>
      </c>
      <c r="C33" s="29" t="n">
        <v>0.114864864864865</v>
      </c>
      <c r="D33" t="n">
        <v>148</v>
      </c>
      <c r="E33" s="29"/>
      <c r="F33"/>
      <c r="G33" s="29" t="n">
        <v>0.928571428571428</v>
      </c>
      <c r="H33" s="29"/>
      <c r="I33" s="29"/>
      <c r="J33"/>
      <c r="K33" s="29" t="n">
        <v>0.0714285714285714</v>
      </c>
      <c r="L33" t="n">
        <v>14</v>
      </c>
      <c r="M33" t="n">
        <v>14</v>
      </c>
      <c r="N33"/>
      <c r="O33" s="29" t="n">
        <v>0.0853658536585366</v>
      </c>
      <c r="P33" t="n">
        <v>82</v>
      </c>
      <c r="Q33" s="29"/>
      <c r="R33"/>
      <c r="S33" s="29" t="n">
        <v>1</v>
      </c>
      <c r="T33" s="29"/>
      <c r="U33" s="29"/>
      <c r="V33"/>
      <c r="W33" s="29"/>
      <c r="X33"/>
      <c r="Y33" t="n">
        <v>5</v>
      </c>
      <c r="Z33"/>
      <c r="AA33" s="29" t="n">
        <v>0.151515151515151</v>
      </c>
      <c r="AB33" t="n">
        <v>66</v>
      </c>
      <c r="AC33" s="29"/>
      <c r="AD33"/>
      <c r="AE33" s="29" t="n">
        <v>0.888888888888889</v>
      </c>
      <c r="AF33" s="29"/>
      <c r="AG33" s="29"/>
      <c r="AH33"/>
      <c r="AI33" s="29" t="n">
        <v>0.111111111111111</v>
      </c>
      <c r="AJ33" t="n">
        <v>9</v>
      </c>
      <c r="AK33" t="n">
        <v>9</v>
      </c>
      <c r="AL33" s="12"/>
    </row>
    <row r="34" outlineLevel="1" hidden="0">
      <c r="A34" s="7" t="s">
        <v>15</v>
      </c>
      <c r="B34" t="s">
        <v>39</v>
      </c>
      <c r="C34" s="29" t="n">
        <v>0.31651376146789</v>
      </c>
      <c r="D34" t="n">
        <v>218</v>
      </c>
      <c r="E34" s="29" t="n">
        <v>0.015625</v>
      </c>
      <c r="F34" t="n">
        <v>64</v>
      </c>
      <c r="G34" s="29" t="n">
        <v>0.84375</v>
      </c>
      <c r="H34" s="29"/>
      <c r="I34" s="29" t="n">
        <v>0.078125</v>
      </c>
      <c r="J34" t="n">
        <v>64</v>
      </c>
      <c r="K34" s="29" t="n">
        <v>0.0625</v>
      </c>
      <c r="L34" t="n">
        <v>64</v>
      </c>
      <c r="M34" t="n">
        <v>64</v>
      </c>
      <c r="N34"/>
      <c r="O34" s="29" t="n">
        <v>0.264705882352941</v>
      </c>
      <c r="P34" t="n">
        <v>102</v>
      </c>
      <c r="Q34" s="29" t="n">
        <v>0.0384615384615385</v>
      </c>
      <c r="R34" t="n">
        <v>26</v>
      </c>
      <c r="S34" s="29" t="n">
        <v>0.807692307692308</v>
      </c>
      <c r="T34" s="29"/>
      <c r="U34" s="29" t="n">
        <v>0.0769230769230769</v>
      </c>
      <c r="V34" t="n">
        <v>26</v>
      </c>
      <c r="W34" s="29" t="n">
        <v>0.0769230769230769</v>
      </c>
      <c r="X34" t="n">
        <v>26</v>
      </c>
      <c r="Y34" t="n">
        <v>26</v>
      </c>
      <c r="Z34"/>
      <c r="AA34" s="29" t="n">
        <v>0.362068965517241</v>
      </c>
      <c r="AB34" t="n">
        <v>116</v>
      </c>
      <c r="AC34" s="29"/>
      <c r="AD34"/>
      <c r="AE34" s="29" t="n">
        <v>0.868421052631579</v>
      </c>
      <c r="AF34" s="29"/>
      <c r="AG34" s="29" t="n">
        <v>0.0789473684210526</v>
      </c>
      <c r="AH34" t="n">
        <v>38</v>
      </c>
      <c r="AI34" s="29" t="n">
        <v>0.0526315789473684</v>
      </c>
      <c r="AJ34" t="n">
        <v>38</v>
      </c>
      <c r="AK34" t="n">
        <v>38</v>
      </c>
      <c r="AL34" s="12"/>
    </row>
    <row r="35" outlineLevel="1" hidden="0">
      <c r="A35" s="7" t="s">
        <v>15</v>
      </c>
      <c r="B35" t="s">
        <v>40</v>
      </c>
      <c r="C35" s="29" t="n">
        <v>0.28125</v>
      </c>
      <c r="D35" t="n">
        <v>192</v>
      </c>
      <c r="E35" s="29"/>
      <c r="F35"/>
      <c r="G35" s="29" t="n">
        <v>0.918367346938776</v>
      </c>
      <c r="H35" s="29"/>
      <c r="I35" s="29" t="n">
        <v>0.0408163265306122</v>
      </c>
      <c r="J35" t="n">
        <v>49</v>
      </c>
      <c r="K35" s="29" t="n">
        <v>0.0408163265306122</v>
      </c>
      <c r="L35" t="n">
        <v>49</v>
      </c>
      <c r="M35" t="n">
        <v>49</v>
      </c>
      <c r="N35"/>
      <c r="O35" s="29" t="n">
        <v>0.285714285714286</v>
      </c>
      <c r="P35" t="n">
        <v>112</v>
      </c>
      <c r="Q35" s="29"/>
      <c r="R35"/>
      <c r="S35" s="29" t="n">
        <v>0.862068965517241</v>
      </c>
      <c r="T35" s="29"/>
      <c r="U35" s="29" t="n">
        <v>0.0689655172413793</v>
      </c>
      <c r="V35" t="n">
        <v>29</v>
      </c>
      <c r="W35" s="29" t="n">
        <v>0.0689655172413793</v>
      </c>
      <c r="X35" t="n">
        <v>29</v>
      </c>
      <c r="Y35" t="n">
        <v>29</v>
      </c>
      <c r="Z35"/>
      <c r="AA35" s="29" t="n">
        <v>0.275</v>
      </c>
      <c r="AB35" t="n">
        <v>80</v>
      </c>
      <c r="AC35" s="29"/>
      <c r="AD35"/>
      <c r="AE35" s="29" t="n">
        <v>1</v>
      </c>
      <c r="AF35" s="29"/>
      <c r="AG35" s="29"/>
      <c r="AH35"/>
      <c r="AI35" s="29"/>
      <c r="AJ35"/>
      <c r="AK35" t="n">
        <v>20</v>
      </c>
      <c r="AL35" s="12"/>
    </row>
    <row r="36" outlineLevel="1" hidden="0">
      <c r="A36" s="7" t="s">
        <v>15</v>
      </c>
      <c r="B36" t="s">
        <v>41</v>
      </c>
      <c r="C36" s="29" t="n">
        <v>0.0988372093023256</v>
      </c>
      <c r="D36" t="n">
        <v>172</v>
      </c>
      <c r="E36" s="29"/>
      <c r="F36"/>
      <c r="G36" s="29" t="n">
        <v>1</v>
      </c>
      <c r="H36" s="29"/>
      <c r="I36" s="29"/>
      <c r="J36"/>
      <c r="K36" s="29"/>
      <c r="L36"/>
      <c r="M36" t="n">
        <v>11</v>
      </c>
      <c r="N36"/>
      <c r="O36" s="29" t="n">
        <v>0.0789473684210526</v>
      </c>
      <c r="P36" t="n">
        <v>76</v>
      </c>
      <c r="Q36" s="29"/>
      <c r="R36"/>
      <c r="S36" s="29" t="n">
        <v>1</v>
      </c>
      <c r="T36" s="29"/>
      <c r="U36" s="29"/>
      <c r="V36"/>
      <c r="W36" s="29"/>
      <c r="X36"/>
      <c r="Y36" t="n">
        <v>4</v>
      </c>
      <c r="Z36"/>
      <c r="AA36" s="29" t="n">
        <v>0.114583333333333</v>
      </c>
      <c r="AB36" t="n">
        <v>96</v>
      </c>
      <c r="AC36" s="29"/>
      <c r="AD36"/>
      <c r="AE36" s="29" t="n">
        <v>1</v>
      </c>
      <c r="AF36" s="29"/>
      <c r="AG36" s="29"/>
      <c r="AH36"/>
      <c r="AI36" s="29"/>
      <c r="AJ36"/>
      <c r="AK36" t="n">
        <v>7</v>
      </c>
      <c r="AL36" s="12"/>
    </row>
    <row r="37" outlineLevel="1" hidden="0">
      <c r="A37" s="7" t="s">
        <v>15</v>
      </c>
      <c r="B37" t="s">
        <v>42</v>
      </c>
      <c r="C37" s="29" t="n">
        <v>0.0683229813664596</v>
      </c>
      <c r="D37" t="n">
        <v>161</v>
      </c>
      <c r="E37" s="29"/>
      <c r="F37"/>
      <c r="G37" s="29" t="n">
        <v>1</v>
      </c>
      <c r="H37" s="29"/>
      <c r="I37" s="29"/>
      <c r="J37"/>
      <c r="K37" s="29"/>
      <c r="L37"/>
      <c r="M37" t="n">
        <v>6</v>
      </c>
      <c r="N37"/>
      <c r="O37" s="29" t="n">
        <v>0.0581395348837209</v>
      </c>
      <c r="P37" t="n">
        <v>86</v>
      </c>
      <c r="Q37" s="29"/>
      <c r="R37"/>
      <c r="S37" s="29" t="n">
        <v>1</v>
      </c>
      <c r="T37" s="29"/>
      <c r="U37" s="29"/>
      <c r="V37"/>
      <c r="W37" s="29"/>
      <c r="X37"/>
      <c r="Y37" t="n">
        <v>2</v>
      </c>
      <c r="Z37"/>
      <c r="AA37" s="29" t="n">
        <v>0.08</v>
      </c>
      <c r="AB37" t="n">
        <v>75</v>
      </c>
      <c r="AC37" s="29"/>
      <c r="AD37"/>
      <c r="AE37" s="29" t="n">
        <v>1</v>
      </c>
      <c r="AF37" s="29"/>
      <c r="AG37" s="29"/>
      <c r="AH37"/>
      <c r="AI37" s="29"/>
      <c r="AJ37"/>
      <c r="AK37" t="n">
        <v>4</v>
      </c>
      <c r="AL37" s="12"/>
    </row>
    <row r="38" outlineLevel="1" hidden="0">
      <c r="A38" s="7" t="s">
        <v>15</v>
      </c>
      <c r="B38" t="s">
        <v>43</v>
      </c>
      <c r="C38" s="29" t="n">
        <v>0.0892018779342723</v>
      </c>
      <c r="D38" t="n">
        <v>213</v>
      </c>
      <c r="E38" s="29"/>
      <c r="F38"/>
      <c r="G38" s="29" t="n">
        <v>0.88235294117647</v>
      </c>
      <c r="H38" s="29"/>
      <c r="I38" s="29"/>
      <c r="J38"/>
      <c r="K38" s="29" t="n">
        <v>0.117647058823529</v>
      </c>
      <c r="L38" t="n">
        <v>17</v>
      </c>
      <c r="M38" t="n">
        <v>17</v>
      </c>
      <c r="N38"/>
      <c r="O38" s="29" t="n">
        <v>0.100917431192661</v>
      </c>
      <c r="P38" t="n">
        <v>109</v>
      </c>
      <c r="Q38" s="29"/>
      <c r="R38"/>
      <c r="S38" s="29" t="n">
        <v>0.9</v>
      </c>
      <c r="T38" s="29"/>
      <c r="U38" s="29"/>
      <c r="V38"/>
      <c r="W38" s="29" t="n">
        <v>0.1</v>
      </c>
      <c r="X38" t="n">
        <v>10</v>
      </c>
      <c r="Y38" t="n">
        <v>10</v>
      </c>
      <c r="Z38"/>
      <c r="AA38" s="29" t="n">
        <v>0.0769230769230769</v>
      </c>
      <c r="AB38" t="n">
        <v>104</v>
      </c>
      <c r="AC38" s="29"/>
      <c r="AD38"/>
      <c r="AE38" s="29" t="n">
        <v>0.857142857142857</v>
      </c>
      <c r="AF38" s="29"/>
      <c r="AG38" s="29"/>
      <c r="AH38"/>
      <c r="AI38" s="29" t="n">
        <v>0.142857142857143</v>
      </c>
      <c r="AJ38" t="n">
        <v>7</v>
      </c>
      <c r="AK38" t="n">
        <v>7</v>
      </c>
      <c r="AL38" s="12"/>
    </row>
    <row r="39" outlineLevel="1" hidden="0">
      <c r="A39" s="7" t="s">
        <v>15</v>
      </c>
      <c r="B39" t="s">
        <v>44</v>
      </c>
      <c r="C39" s="29" t="n">
        <v>0.0796019900497512</v>
      </c>
      <c r="D39" t="n">
        <v>201</v>
      </c>
      <c r="E39" s="29" t="n">
        <v>0.0666666666666667</v>
      </c>
      <c r="F39" t="n">
        <v>15</v>
      </c>
      <c r="G39" s="29" t="n">
        <v>0.8</v>
      </c>
      <c r="H39" s="29" t="n">
        <v>0.0666666666666667</v>
      </c>
      <c r="I39" s="29"/>
      <c r="J39"/>
      <c r="K39" s="29" t="n">
        <v>0.0666666666666667</v>
      </c>
      <c r="L39" t="n">
        <v>15</v>
      </c>
      <c r="M39" t="n">
        <v>15</v>
      </c>
      <c r="N39" t="n">
        <v>15</v>
      </c>
      <c r="O39" s="29" t="n">
        <v>0.0918367346938776</v>
      </c>
      <c r="P39" t="n">
        <v>98</v>
      </c>
      <c r="Q39" s="29" t="n">
        <v>0.125</v>
      </c>
      <c r="R39" t="n">
        <v>8</v>
      </c>
      <c r="S39" s="29" t="n">
        <v>0.75</v>
      </c>
      <c r="T39" s="29"/>
      <c r="U39" s="29"/>
      <c r="V39"/>
      <c r="W39" s="29" t="n">
        <v>0.125</v>
      </c>
      <c r="X39" t="n">
        <v>8</v>
      </c>
      <c r="Y39" t="n">
        <v>8</v>
      </c>
      <c r="Z39"/>
      <c r="AA39" s="29" t="n">
        <v>0.0679611650485437</v>
      </c>
      <c r="AB39" t="n">
        <v>103</v>
      </c>
      <c r="AC39" s="29"/>
      <c r="AD39"/>
      <c r="AE39" s="29" t="n">
        <v>0.857142857142857</v>
      </c>
      <c r="AF39" s="29" t="n">
        <v>0.142857142857143</v>
      </c>
      <c r="AG39" s="29"/>
      <c r="AH39"/>
      <c r="AI39" s="29"/>
      <c r="AJ39"/>
      <c r="AK39" t="n">
        <v>7</v>
      </c>
      <c r="AL39" s="12" t="n">
        <v>7</v>
      </c>
    </row>
    <row r="40" outlineLevel="1" hidden="0">
      <c r="A40" s="7" t="s">
        <v>15</v>
      </c>
      <c r="B40" t="s">
        <v>45</v>
      </c>
      <c r="C40" s="29" t="n">
        <v>0.177083333333333</v>
      </c>
      <c r="D40" t="n">
        <v>192</v>
      </c>
      <c r="E40" s="29" t="n">
        <v>0.0689655172413793</v>
      </c>
      <c r="F40" t="n">
        <v>29</v>
      </c>
      <c r="G40" s="29" t="n">
        <v>0.689655172413793</v>
      </c>
      <c r="H40" s="29"/>
      <c r="I40" s="29"/>
      <c r="J40"/>
      <c r="K40" s="29" t="n">
        <v>0.241379310344828</v>
      </c>
      <c r="L40" t="n">
        <v>29</v>
      </c>
      <c r="M40" t="n">
        <v>29</v>
      </c>
      <c r="N40"/>
      <c r="O40" s="29" t="n">
        <v>0.132743362831858</v>
      </c>
      <c r="P40" t="n">
        <v>113</v>
      </c>
      <c r="Q40" s="29" t="n">
        <v>0.1</v>
      </c>
      <c r="R40" t="n">
        <v>10</v>
      </c>
      <c r="S40" s="29" t="n">
        <v>0.7</v>
      </c>
      <c r="T40" s="29"/>
      <c r="U40" s="29"/>
      <c r="V40"/>
      <c r="W40" s="29" t="n">
        <v>0.2</v>
      </c>
      <c r="X40" t="n">
        <v>10</v>
      </c>
      <c r="Y40" t="n">
        <v>10</v>
      </c>
      <c r="Z40"/>
      <c r="AA40" s="29" t="n">
        <v>0.240506329113924</v>
      </c>
      <c r="AB40" t="n">
        <v>79</v>
      </c>
      <c r="AC40" s="29" t="n">
        <v>0.0526315789473684</v>
      </c>
      <c r="AD40" t="n">
        <v>19</v>
      </c>
      <c r="AE40" s="29" t="n">
        <v>0.684210526315789</v>
      </c>
      <c r="AF40" s="29"/>
      <c r="AG40" s="29"/>
      <c r="AH40"/>
      <c r="AI40" s="29" t="n">
        <v>0.263157894736842</v>
      </c>
      <c r="AJ40" t="n">
        <v>19</v>
      </c>
      <c r="AK40" t="n">
        <v>19</v>
      </c>
      <c r="AL40" s="12"/>
    </row>
    <row r="41" outlineLevel="1" hidden="0">
      <c r="A41" s="7" t="s">
        <v>15</v>
      </c>
      <c r="B41" t="s">
        <v>46</v>
      </c>
      <c r="C41" s="29" t="n">
        <v>0.180722891566265</v>
      </c>
      <c r="D41" t="n">
        <v>166</v>
      </c>
      <c r="E41" s="29" t="n">
        <v>0.0357142857142857</v>
      </c>
      <c r="F41" t="n">
        <v>28</v>
      </c>
      <c r="G41" s="29" t="n">
        <v>0.678571428571428</v>
      </c>
      <c r="H41" s="29"/>
      <c r="I41" s="29" t="n">
        <v>0.0357142857142857</v>
      </c>
      <c r="J41" t="n">
        <v>28</v>
      </c>
      <c r="K41" s="29" t="n">
        <v>0.25</v>
      </c>
      <c r="L41" t="n">
        <v>28</v>
      </c>
      <c r="M41" t="n">
        <v>28</v>
      </c>
      <c r="N41"/>
      <c r="O41" s="29" t="n">
        <v>0.19047619047619</v>
      </c>
      <c r="P41" t="n">
        <v>84</v>
      </c>
      <c r="Q41" s="29" t="n">
        <v>0.0666666666666667</v>
      </c>
      <c r="R41" t="n">
        <v>15</v>
      </c>
      <c r="S41" s="29" t="n">
        <v>0.6</v>
      </c>
      <c r="T41" s="29"/>
      <c r="U41" s="29" t="n">
        <v>0.0666666666666667</v>
      </c>
      <c r="V41" t="n">
        <v>15</v>
      </c>
      <c r="W41" s="29" t="n">
        <v>0.266666666666667</v>
      </c>
      <c r="X41" t="n">
        <v>15</v>
      </c>
      <c r="Y41" t="n">
        <v>15</v>
      </c>
      <c r="Z41"/>
      <c r="AA41" s="29" t="n">
        <v>0.170731707317073</v>
      </c>
      <c r="AB41" t="n">
        <v>82</v>
      </c>
      <c r="AC41" s="29"/>
      <c r="AD41"/>
      <c r="AE41" s="29" t="n">
        <v>0.769230769230769</v>
      </c>
      <c r="AF41" s="29"/>
      <c r="AG41" s="29"/>
      <c r="AH41"/>
      <c r="AI41" s="29" t="n">
        <v>0.230769230769231</v>
      </c>
      <c r="AJ41" t="n">
        <v>13</v>
      </c>
      <c r="AK41" t="n">
        <v>13</v>
      </c>
      <c r="AL41" s="12"/>
    </row>
    <row r="42" outlineLevel="1" hidden="0">
      <c r="A42" s="7" t="s">
        <v>15</v>
      </c>
      <c r="B42" t="s">
        <v>47</v>
      </c>
      <c r="C42" s="29" t="n">
        <v>0.271794871794872</v>
      </c>
      <c r="D42" t="n">
        <v>195</v>
      </c>
      <c r="E42" s="29"/>
      <c r="F42"/>
      <c r="G42" s="29" t="n">
        <v>0.784313725490196</v>
      </c>
      <c r="H42" s="29" t="n">
        <v>0.0196078431372549</v>
      </c>
      <c r="I42" s="29" t="n">
        <v>0.0196078431372549</v>
      </c>
      <c r="J42" t="n">
        <v>51</v>
      </c>
      <c r="K42" s="29" t="n">
        <v>0.176470588235294</v>
      </c>
      <c r="L42" t="n">
        <v>51</v>
      </c>
      <c r="M42" t="n">
        <v>51</v>
      </c>
      <c r="N42" t="n">
        <v>51</v>
      </c>
      <c r="O42" s="29" t="n">
        <v>0.268817204301075</v>
      </c>
      <c r="P42" t="n">
        <v>93</v>
      </c>
      <c r="Q42" s="29"/>
      <c r="R42"/>
      <c r="S42" s="29" t="n">
        <v>0.826086956521739</v>
      </c>
      <c r="T42" s="29" t="n">
        <v>0.0434782608695652</v>
      </c>
      <c r="U42" s="29"/>
      <c r="V42"/>
      <c r="W42" s="29" t="n">
        <v>0.130434782608696</v>
      </c>
      <c r="X42" t="n">
        <v>23</v>
      </c>
      <c r="Y42" t="n">
        <v>23</v>
      </c>
      <c r="Z42" t="n">
        <v>23</v>
      </c>
      <c r="AA42" s="29" t="n">
        <v>0.274509803921569</v>
      </c>
      <c r="AB42" t="n">
        <v>102</v>
      </c>
      <c r="AC42" s="29"/>
      <c r="AD42"/>
      <c r="AE42" s="29" t="n">
        <v>0.75</v>
      </c>
      <c r="AF42" s="29"/>
      <c r="AG42" s="29" t="n">
        <v>0.0357142857142857</v>
      </c>
      <c r="AH42" t="n">
        <v>28</v>
      </c>
      <c r="AI42" s="29" t="n">
        <v>0.214285714285714</v>
      </c>
      <c r="AJ42" t="n">
        <v>28</v>
      </c>
      <c r="AK42" t="n">
        <v>28</v>
      </c>
      <c r="AL42" s="12"/>
    </row>
    <row r="43" outlineLevel="1" hidden="0">
      <c r="A43" s="7" t="s">
        <v>15</v>
      </c>
      <c r="B43" t="s">
        <v>48</v>
      </c>
      <c r="C43" s="29" t="n">
        <v>0.132352941176471</v>
      </c>
      <c r="D43" t="n">
        <v>204</v>
      </c>
      <c r="E43" s="29"/>
      <c r="F43"/>
      <c r="G43" s="29" t="n">
        <v>0.611111111111111</v>
      </c>
      <c r="H43" s="29" t="n">
        <v>0.0555555555555556</v>
      </c>
      <c r="I43" s="29" t="n">
        <v>0.0555555555555556</v>
      </c>
      <c r="J43" t="n">
        <v>18</v>
      </c>
      <c r="K43" s="29" t="n">
        <v>0.277777777777778</v>
      </c>
      <c r="L43" t="n">
        <v>18</v>
      </c>
      <c r="M43" t="n">
        <v>18</v>
      </c>
      <c r="N43" t="n">
        <v>18</v>
      </c>
      <c r="O43" s="29" t="n">
        <v>0.125</v>
      </c>
      <c r="P43" t="n">
        <v>112</v>
      </c>
      <c r="Q43" s="29"/>
      <c r="R43"/>
      <c r="S43" s="29" t="n">
        <v>0.666666666666667</v>
      </c>
      <c r="T43" s="29"/>
      <c r="U43" s="29" t="n">
        <v>0.111111111111111</v>
      </c>
      <c r="V43" t="n">
        <v>9</v>
      </c>
      <c r="W43" s="29" t="n">
        <v>0.222222222222222</v>
      </c>
      <c r="X43" t="n">
        <v>9</v>
      </c>
      <c r="Y43" t="n">
        <v>9</v>
      </c>
      <c r="Z43"/>
      <c r="AA43" s="29" t="n">
        <v>0.141304347826087</v>
      </c>
      <c r="AB43" t="n">
        <v>92</v>
      </c>
      <c r="AC43" s="29"/>
      <c r="AD43"/>
      <c r="AE43" s="29" t="n">
        <v>0.555555555555556</v>
      </c>
      <c r="AF43" s="29" t="n">
        <v>0.111111111111111</v>
      </c>
      <c r="AG43" s="29"/>
      <c r="AH43"/>
      <c r="AI43" s="29" t="n">
        <v>0.333333333333333</v>
      </c>
      <c r="AJ43" t="n">
        <v>9</v>
      </c>
      <c r="AK43" t="n">
        <v>9</v>
      </c>
      <c r="AL43" s="12" t="n">
        <v>9</v>
      </c>
    </row>
    <row r="44" outlineLevel="1" hidden="0">
      <c r="A44" s="7" t="s">
        <v>15</v>
      </c>
      <c r="B44" t="s">
        <v>49</v>
      </c>
      <c r="C44" s="29" t="n">
        <v>0.161111111111111</v>
      </c>
      <c r="D44" t="n">
        <v>180</v>
      </c>
      <c r="E44" s="29"/>
      <c r="F44"/>
      <c r="G44" s="29" t="n">
        <v>0.6</v>
      </c>
      <c r="H44" s="29" t="n">
        <v>0.12</v>
      </c>
      <c r="I44" s="29" t="n">
        <v>0.12</v>
      </c>
      <c r="J44" t="n">
        <v>25</v>
      </c>
      <c r="K44" s="29" t="n">
        <v>0.16</v>
      </c>
      <c r="L44" t="n">
        <v>25</v>
      </c>
      <c r="M44" t="n">
        <v>25</v>
      </c>
      <c r="N44" t="n">
        <v>25</v>
      </c>
      <c r="O44" s="29" t="n">
        <v>0.152941176470588</v>
      </c>
      <c r="P44" t="n">
        <v>85</v>
      </c>
      <c r="Q44" s="29"/>
      <c r="R44"/>
      <c r="S44" s="29" t="n">
        <v>0.583333333333333</v>
      </c>
      <c r="T44" s="29" t="n">
        <v>0.166666666666667</v>
      </c>
      <c r="U44" s="29" t="n">
        <v>0.166666666666667</v>
      </c>
      <c r="V44" t="n">
        <v>12</v>
      </c>
      <c r="W44" s="29" t="n">
        <v>0.0833333333333333</v>
      </c>
      <c r="X44" t="n">
        <v>12</v>
      </c>
      <c r="Y44" t="n">
        <v>12</v>
      </c>
      <c r="Z44" t="n">
        <v>12</v>
      </c>
      <c r="AA44" s="29" t="n">
        <v>0.168421052631579</v>
      </c>
      <c r="AB44" t="n">
        <v>95</v>
      </c>
      <c r="AC44" s="29"/>
      <c r="AD44"/>
      <c r="AE44" s="29" t="n">
        <v>0.615384615384615</v>
      </c>
      <c r="AF44" s="29" t="n">
        <v>0.0769230769230769</v>
      </c>
      <c r="AG44" s="29" t="n">
        <v>0.0769230769230769</v>
      </c>
      <c r="AH44" t="n">
        <v>13</v>
      </c>
      <c r="AI44" s="29" t="n">
        <v>0.230769230769231</v>
      </c>
      <c r="AJ44" t="n">
        <v>13</v>
      </c>
      <c r="AK44" t="n">
        <v>13</v>
      </c>
      <c r="AL44" s="12" t="n">
        <v>13</v>
      </c>
    </row>
    <row r="45" outlineLevel="1" hidden="0">
      <c r="A45" s="7" t="s">
        <v>15</v>
      </c>
      <c r="B45" t="s">
        <v>50</v>
      </c>
      <c r="C45" s="29" t="n">
        <v>0.136363636363636</v>
      </c>
      <c r="D45" t="n">
        <v>198</v>
      </c>
      <c r="E45" s="29" t="n">
        <v>0.0555555555555556</v>
      </c>
      <c r="F45" t="n">
        <v>18</v>
      </c>
      <c r="G45" s="29" t="n">
        <v>0.611111111111111</v>
      </c>
      <c r="H45" s="29"/>
      <c r="I45" s="29" t="n">
        <v>0.166666666666667</v>
      </c>
      <c r="J45" t="n">
        <v>18</v>
      </c>
      <c r="K45" s="29" t="n">
        <v>0.166666666666667</v>
      </c>
      <c r="L45" t="n">
        <v>18</v>
      </c>
      <c r="M45" t="n">
        <v>18</v>
      </c>
      <c r="N45"/>
      <c r="O45" s="29" t="n">
        <v>0.141509433962264</v>
      </c>
      <c r="P45" t="n">
        <v>106</v>
      </c>
      <c r="Q45" s="29" t="n">
        <v>0.125</v>
      </c>
      <c r="R45" t="n">
        <v>8</v>
      </c>
      <c r="S45" s="29" t="n">
        <v>0.5</v>
      </c>
      <c r="T45" s="29"/>
      <c r="U45" s="29" t="n">
        <v>0.25</v>
      </c>
      <c r="V45" t="n">
        <v>8</v>
      </c>
      <c r="W45" s="29" t="n">
        <v>0.125</v>
      </c>
      <c r="X45" t="n">
        <v>8</v>
      </c>
      <c r="Y45" t="n">
        <v>8</v>
      </c>
      <c r="Z45"/>
      <c r="AA45" s="29" t="n">
        <v>0.130434782608696</v>
      </c>
      <c r="AB45" t="n">
        <v>92</v>
      </c>
      <c r="AC45" s="29"/>
      <c r="AD45"/>
      <c r="AE45" s="29" t="n">
        <v>0.7</v>
      </c>
      <c r="AF45" s="29"/>
      <c r="AG45" s="29" t="n">
        <v>0.1</v>
      </c>
      <c r="AH45" t="n">
        <v>10</v>
      </c>
      <c r="AI45" s="29" t="n">
        <v>0.2</v>
      </c>
      <c r="AJ45" t="n">
        <v>10</v>
      </c>
      <c r="AK45" t="n">
        <v>10</v>
      </c>
      <c r="AL45" s="12"/>
    </row>
    <row r="46" outlineLevel="1" hidden="0">
      <c r="A46" s="7" t="s">
        <v>15</v>
      </c>
      <c r="B46" t="s">
        <v>51</v>
      </c>
      <c r="C46" s="29" t="n">
        <v>0.0645161290322581</v>
      </c>
      <c r="D46" t="n">
        <v>124</v>
      </c>
      <c r="E46" s="29" t="n">
        <v>0.166666666666667</v>
      </c>
      <c r="F46" t="n">
        <v>6</v>
      </c>
      <c r="G46" s="29" t="n">
        <v>0.666666666666667</v>
      </c>
      <c r="H46" s="29"/>
      <c r="I46" s="29"/>
      <c r="J46"/>
      <c r="K46" s="29" t="n">
        <v>0.166666666666667</v>
      </c>
      <c r="L46" t="n">
        <v>6</v>
      </c>
      <c r="M46" t="n">
        <v>6</v>
      </c>
      <c r="N46"/>
      <c r="O46" s="29" t="n">
        <v>0.0483870967741935</v>
      </c>
      <c r="P46" t="n">
        <v>62</v>
      </c>
      <c r="Q46" s="29" t="n">
        <v>0.5</v>
      </c>
      <c r="R46" t="n">
        <v>2</v>
      </c>
      <c r="S46" s="29" t="n">
        <v>0.5</v>
      </c>
      <c r="T46" s="29"/>
      <c r="U46" s="29"/>
      <c r="V46"/>
      <c r="W46" s="29"/>
      <c r="X46"/>
      <c r="Y46" t="n">
        <v>2</v>
      </c>
      <c r="Z46"/>
      <c r="AA46" s="29" t="n">
        <v>0.0806451612903226</v>
      </c>
      <c r="AB46" t="n">
        <v>62</v>
      </c>
      <c r="AC46" s="29"/>
      <c r="AD46"/>
      <c r="AE46" s="29" t="n">
        <v>0.75</v>
      </c>
      <c r="AF46" s="29"/>
      <c r="AG46" s="29"/>
      <c r="AH46"/>
      <c r="AI46" s="29" t="n">
        <v>0.25</v>
      </c>
      <c r="AJ46" t="n">
        <v>4</v>
      </c>
      <c r="AK46" t="n">
        <v>4</v>
      </c>
      <c r="AL46" s="12"/>
    </row>
    <row r="47" outlineLevel="1" hidden="0">
      <c r="A47" s="7" t="s">
        <v>15</v>
      </c>
      <c r="B47" t="s">
        <v>52</v>
      </c>
      <c r="C47" s="29" t="n">
        <v>0.169665809768638</v>
      </c>
      <c r="D47" t="n">
        <v>778</v>
      </c>
      <c r="E47" s="29" t="n">
        <v>0.0175438596491228</v>
      </c>
      <c r="F47" t="n">
        <v>114</v>
      </c>
      <c r="G47" s="29" t="n">
        <v>0.701754385964912</v>
      </c>
      <c r="H47" s="29" t="n">
        <v>0.0350877192982456</v>
      </c>
      <c r="I47" s="29" t="n">
        <v>0.0087719298245614</v>
      </c>
      <c r="J47" t="n">
        <v>114</v>
      </c>
      <c r="K47" s="29" t="n">
        <v>0.236842105263158</v>
      </c>
      <c r="L47" t="n">
        <v>114</v>
      </c>
      <c r="M47" t="n">
        <v>114</v>
      </c>
      <c r="N47" t="n">
        <v>114</v>
      </c>
      <c r="O47" s="29" t="n">
        <v>0.14622641509434</v>
      </c>
      <c r="P47" t="n">
        <v>424</v>
      </c>
      <c r="Q47" s="29" t="n">
        <v>0.0377358490566038</v>
      </c>
      <c r="R47" t="n">
        <v>53</v>
      </c>
      <c r="S47" s="29" t="n">
        <v>0.679245283018868</v>
      </c>
      <c r="T47" s="29" t="n">
        <v>0.0754716981132075</v>
      </c>
      <c r="U47" s="29"/>
      <c r="V47"/>
      <c r="W47" s="29" t="n">
        <v>0.207547169811321</v>
      </c>
      <c r="X47" t="n">
        <v>53</v>
      </c>
      <c r="Y47" t="n">
        <v>53</v>
      </c>
      <c r="Z47" t="n">
        <v>53</v>
      </c>
      <c r="AA47" s="29" t="n">
        <v>0.19774011299435</v>
      </c>
      <c r="AB47" t="n">
        <v>354</v>
      </c>
      <c r="AC47" s="29"/>
      <c r="AD47"/>
      <c r="AE47" s="29" t="n">
        <v>0.721311475409836</v>
      </c>
      <c r="AF47" s="29"/>
      <c r="AG47" s="29" t="n">
        <v>0.0163934426229508</v>
      </c>
      <c r="AH47" t="n">
        <v>61</v>
      </c>
      <c r="AI47" s="29" t="n">
        <v>0.262295081967213</v>
      </c>
      <c r="AJ47" t="n">
        <v>61</v>
      </c>
      <c r="AK47" t="n">
        <v>61</v>
      </c>
      <c r="AL47" s="12"/>
    </row>
    <row r="48" outlineLevel="1" hidden="0">
      <c r="A48" s="7" t="s">
        <v>15</v>
      </c>
      <c r="B48" t="s">
        <v>53</v>
      </c>
      <c r="C48" s="29" t="n">
        <v>0.243027888446215</v>
      </c>
      <c r="D48" t="n">
        <v>251</v>
      </c>
      <c r="E48" s="29" t="n">
        <v>0.0178571428571429</v>
      </c>
      <c r="F48" t="n">
        <v>56</v>
      </c>
      <c r="G48" s="29" t="n">
        <v>0.857142857142857</v>
      </c>
      <c r="H48" s="29" t="n">
        <v>0.0178571428571429</v>
      </c>
      <c r="I48" s="29"/>
      <c r="J48"/>
      <c r="K48" s="29" t="n">
        <v>0.107142857142857</v>
      </c>
      <c r="L48" t="n">
        <v>56</v>
      </c>
      <c r="M48" t="n">
        <v>56</v>
      </c>
      <c r="N48" t="n">
        <v>56</v>
      </c>
      <c r="O48" s="29" t="n">
        <v>0.27027027027027</v>
      </c>
      <c r="P48" t="n">
        <v>111</v>
      </c>
      <c r="Q48" s="29" t="n">
        <v>0.0384615384615385</v>
      </c>
      <c r="R48" t="n">
        <v>26</v>
      </c>
      <c r="S48" s="29" t="n">
        <v>0.846153846153846</v>
      </c>
      <c r="T48" s="29"/>
      <c r="U48" s="29"/>
      <c r="V48"/>
      <c r="W48" s="29" t="n">
        <v>0.115384615384615</v>
      </c>
      <c r="X48" t="n">
        <v>26</v>
      </c>
      <c r="Y48" t="n">
        <v>26</v>
      </c>
      <c r="Z48"/>
      <c r="AA48" s="29" t="n">
        <v>0.221428571428571</v>
      </c>
      <c r="AB48" t="n">
        <v>140</v>
      </c>
      <c r="AC48" s="29"/>
      <c r="AD48"/>
      <c r="AE48" s="29" t="n">
        <v>0.866666666666667</v>
      </c>
      <c r="AF48" s="29" t="n">
        <v>0.0333333333333333</v>
      </c>
      <c r="AG48" s="29"/>
      <c r="AH48"/>
      <c r="AI48" s="29" t="n">
        <v>0.1</v>
      </c>
      <c r="AJ48" t="n">
        <v>30</v>
      </c>
      <c r="AK48" t="n">
        <v>30</v>
      </c>
      <c r="AL48" s="12" t="n">
        <v>30</v>
      </c>
    </row>
    <row r="49" outlineLevel="1" hidden="0">
      <c r="A49" s="7" t="s">
        <v>15</v>
      </c>
      <c r="B49" t="s">
        <v>54</v>
      </c>
      <c r="C49" s="29" t="n">
        <v>0.09</v>
      </c>
      <c r="D49" t="n">
        <v>200</v>
      </c>
      <c r="E49" s="29"/>
      <c r="F49"/>
      <c r="G49" s="29" t="n">
        <v>1</v>
      </c>
      <c r="H49" s="29"/>
      <c r="I49" s="29"/>
      <c r="J49"/>
      <c r="K49" s="29"/>
      <c r="L49"/>
      <c r="M49" t="n">
        <v>16</v>
      </c>
      <c r="N49"/>
      <c r="O49" s="29" t="n">
        <v>0.105769230769231</v>
      </c>
      <c r="P49" t="n">
        <v>104</v>
      </c>
      <c r="Q49" s="29"/>
      <c r="R49"/>
      <c r="S49" s="29" t="n">
        <v>1</v>
      </c>
      <c r="T49" s="29"/>
      <c r="U49" s="29"/>
      <c r="V49"/>
      <c r="W49" s="29"/>
      <c r="X49"/>
      <c r="Y49" t="n">
        <v>10</v>
      </c>
      <c r="Z49"/>
      <c r="AA49" s="29" t="n">
        <v>0.0729166666666667</v>
      </c>
      <c r="AB49" t="n">
        <v>96</v>
      </c>
      <c r="AC49" s="29"/>
      <c r="AD49"/>
      <c r="AE49" s="29" t="n">
        <v>1</v>
      </c>
      <c r="AF49" s="29"/>
      <c r="AG49" s="29"/>
      <c r="AH49"/>
      <c r="AI49" s="29"/>
      <c r="AJ49"/>
      <c r="AK49" t="n">
        <v>6</v>
      </c>
      <c r="AL49" s="12"/>
    </row>
    <row r="50" outlineLevel="1" hidden="0">
      <c r="A50" s="7" t="s">
        <v>15</v>
      </c>
      <c r="B50" t="s">
        <v>55</v>
      </c>
      <c r="C50" s="29" t="n">
        <v>0.128048780487805</v>
      </c>
      <c r="D50" t="n">
        <v>164</v>
      </c>
      <c r="E50" s="29"/>
      <c r="F50"/>
      <c r="G50" s="29" t="n">
        <v>0.875</v>
      </c>
      <c r="H50" s="29" t="n">
        <v>0.0625</v>
      </c>
      <c r="I50" s="29"/>
      <c r="J50"/>
      <c r="K50" s="29" t="n">
        <v>0.0625</v>
      </c>
      <c r="L50" t="n">
        <v>16</v>
      </c>
      <c r="M50" t="n">
        <v>16</v>
      </c>
      <c r="N50" t="n">
        <v>16</v>
      </c>
      <c r="O50" s="29" t="n">
        <v>0.0833333333333333</v>
      </c>
      <c r="P50" t="n">
        <v>72</v>
      </c>
      <c r="Q50" s="29"/>
      <c r="R50"/>
      <c r="S50" s="29" t="n">
        <v>0.75</v>
      </c>
      <c r="T50" s="29"/>
      <c r="U50" s="29"/>
      <c r="V50"/>
      <c r="W50" s="29" t="n">
        <v>0.25</v>
      </c>
      <c r="X50" t="n">
        <v>4</v>
      </c>
      <c r="Y50" t="n">
        <v>4</v>
      </c>
      <c r="Z50"/>
      <c r="AA50" s="29" t="n">
        <v>0.16304347826087</v>
      </c>
      <c r="AB50" t="n">
        <v>92</v>
      </c>
      <c r="AC50" s="29"/>
      <c r="AD50"/>
      <c r="AE50" s="29" t="n">
        <v>0.916666666666667</v>
      </c>
      <c r="AF50" s="29" t="n">
        <v>0.0833333333333333</v>
      </c>
      <c r="AG50" s="29"/>
      <c r="AH50"/>
      <c r="AI50" s="29"/>
      <c r="AJ50"/>
      <c r="AK50" t="n">
        <v>12</v>
      </c>
      <c r="AL50" s="12" t="n">
        <v>12</v>
      </c>
    </row>
    <row r="51" outlineLevel="1" hidden="0">
      <c r="A51" s="8" t="s">
        <v>15</v>
      </c>
      <c r="B51" s="10" t="s">
        <v>56</v>
      </c>
      <c r="C51" s="28" t="n">
        <v>0.1875</v>
      </c>
      <c r="D51" s="10" t="n">
        <v>160</v>
      </c>
      <c r="E51" s="28" t="n">
        <v>0.0434782608695652</v>
      </c>
      <c r="F51" s="10" t="n">
        <v>23</v>
      </c>
      <c r="G51" s="28" t="n">
        <v>0.869565217391304</v>
      </c>
      <c r="H51" s="28"/>
      <c r="I51" s="28" t="n">
        <v>0.0434782608695652</v>
      </c>
      <c r="J51" s="10" t="n">
        <v>23</v>
      </c>
      <c r="K51" s="28" t="n">
        <v>0.0434782608695652</v>
      </c>
      <c r="L51" s="10" t="n">
        <v>23</v>
      </c>
      <c r="M51" s="10" t="n">
        <v>23</v>
      </c>
      <c r="N51" s="10"/>
      <c r="O51" s="28" t="n">
        <v>0.172413793103448</v>
      </c>
      <c r="P51" s="10" t="n">
        <v>87</v>
      </c>
      <c r="Q51" s="28" t="n">
        <v>0.0909090909090909</v>
      </c>
      <c r="R51" s="10" t="n">
        <v>11</v>
      </c>
      <c r="S51" s="28" t="n">
        <v>0.727272727272727</v>
      </c>
      <c r="T51" s="28"/>
      <c r="U51" s="28" t="n">
        <v>0.0909090909090909</v>
      </c>
      <c r="V51" s="10" t="n">
        <v>11</v>
      </c>
      <c r="W51" s="28" t="n">
        <v>0.0909090909090909</v>
      </c>
      <c r="X51" s="10" t="n">
        <v>11</v>
      </c>
      <c r="Y51" s="10" t="n">
        <v>11</v>
      </c>
      <c r="Z51" s="10"/>
      <c r="AA51" s="28" t="n">
        <v>0.205479452054795</v>
      </c>
      <c r="AB51" s="10" t="n">
        <v>73</v>
      </c>
      <c r="AC51" s="28"/>
      <c r="AD51" s="10"/>
      <c r="AE51" s="28" t="n">
        <v>1</v>
      </c>
      <c r="AF51" s="28"/>
      <c r="AG51" s="28"/>
      <c r="AH51" s="10"/>
      <c r="AI51" s="28"/>
      <c r="AJ51" s="10"/>
      <c r="AK51" s="10" t="n">
        <v>12</v>
      </c>
      <c r="AL51" s="13"/>
    </row>
    <row r="52">
      <c r="C52" s="29"/>
      <c r="E52" s="29"/>
      <c r="G52" s="29"/>
      <c r="H52" s="29"/>
      <c r="I52" s="29"/>
      <c r="K52" s="29"/>
      <c r="O52" s="29"/>
      <c r="Q52" s="29"/>
      <c r="S52" s="29"/>
      <c r="T52" s="29"/>
      <c r="U52" s="29"/>
      <c r="W52" s="29"/>
      <c r="AA52" s="29"/>
      <c r="AC52" s="29"/>
      <c r="AE52" s="29"/>
      <c r="AF52" s="29"/>
      <c r="AG52" s="29"/>
      <c r="AI52" s="29"/>
    </row>
    <row r="53">
      <c r="A53" s="2" t="s">
        <v>57</v>
      </c>
      <c r="B53" s="2"/>
      <c r="C53" s="25"/>
      <c r="D53" s="2"/>
      <c r="E53" s="25"/>
      <c r="F53" s="2"/>
      <c r="G53" s="25"/>
      <c r="H53" s="25"/>
      <c r="I53" s="25"/>
      <c r="J53" s="2"/>
      <c r="K53" s="25"/>
      <c r="L53" s="2"/>
      <c r="M53" s="2"/>
      <c r="N53" s="2"/>
      <c r="O53" s="25"/>
      <c r="P53" s="2"/>
      <c r="Q53" s="25"/>
      <c r="R53" s="2"/>
      <c r="S53" s="25"/>
      <c r="T53" s="25"/>
      <c r="U53" s="25"/>
      <c r="V53" s="2"/>
      <c r="W53" s="25"/>
      <c r="X53" s="2"/>
      <c r="Y53" s="2"/>
      <c r="Z53" s="2"/>
      <c r="AA53" s="25"/>
      <c r="AB53" s="2"/>
      <c r="AC53" s="25"/>
      <c r="AD53" s="2"/>
      <c r="AE53" s="25"/>
      <c r="AF53" s="25"/>
      <c r="AG53" s="25"/>
      <c r="AH53" s="2"/>
      <c r="AI53" s="25"/>
      <c r="AJ53" s="2"/>
      <c r="AK53" s="2"/>
      <c r="AL53" s="2"/>
    </row>
    <row r="54" outlineLevel="1" hidden="0">
      <c r="A54" s="6" t="s">
        <v>15</v>
      </c>
      <c r="B54" s="9" t="s">
        <v>163</v>
      </c>
      <c r="C54" s="27" t="n">
        <v>1</v>
      </c>
      <c r="D54" s="9" t="n">
        <v>3</v>
      </c>
      <c r="E54" s="27"/>
      <c r="F54" s="9"/>
      <c r="G54" s="27" t="n">
        <v>1</v>
      </c>
      <c r="H54" s="27"/>
      <c r="I54" s="27"/>
      <c r="J54" s="9"/>
      <c r="K54" s="27"/>
      <c r="L54" s="9"/>
      <c r="M54" s="9" t="n">
        <v>3</v>
      </c>
      <c r="N54" s="9"/>
      <c r="O54" s="27" t="n">
        <v>1</v>
      </c>
      <c r="P54" s="9" t="n">
        <v>2</v>
      </c>
      <c r="Q54" s="27"/>
      <c r="R54" s="9"/>
      <c r="S54" s="27" t="n">
        <v>1</v>
      </c>
      <c r="T54" s="27"/>
      <c r="U54" s="27"/>
      <c r="V54" s="9"/>
      <c r="W54" s="27"/>
      <c r="X54" s="9"/>
      <c r="Y54" s="9" t="n">
        <v>2</v>
      </c>
      <c r="Z54" s="9"/>
      <c r="AA54" s="27" t="n">
        <v>1</v>
      </c>
      <c r="AB54" s="9" t="n">
        <v>1</v>
      </c>
      <c r="AC54" s="27"/>
      <c r="AD54" s="9"/>
      <c r="AE54" s="27" t="n">
        <v>1</v>
      </c>
      <c r="AF54" s="27"/>
      <c r="AG54" s="27"/>
      <c r="AH54" s="9"/>
      <c r="AI54" s="27"/>
      <c r="AJ54" s="9"/>
      <c r="AK54" s="9" t="n">
        <v>1</v>
      </c>
      <c r="AL54" s="11"/>
    </row>
    <row r="55" outlineLevel="1" hidden="0">
      <c r="A55" s="7" t="s">
        <v>15</v>
      </c>
      <c r="B55" t="s">
        <v>58</v>
      </c>
      <c r="C55" s="29" t="n">
        <v>0.166666666666667</v>
      </c>
      <c r="D55" t="n">
        <v>6</v>
      </c>
      <c r="E55" s="29"/>
      <c r="F55"/>
      <c r="G55" s="29" t="n">
        <v>1</v>
      </c>
      <c r="H55" s="29"/>
      <c r="I55" s="29"/>
      <c r="J55"/>
      <c r="K55" s="29"/>
      <c r="L55"/>
      <c r="M55" t="n">
        <v>1</v>
      </c>
      <c r="N55"/>
      <c r="O55" s="29"/>
      <c r="P55"/>
      <c r="Q55" s="29"/>
      <c r="R55"/>
      <c r="S55" s="29"/>
      <c r="T55" s="29"/>
      <c r="U55" s="29"/>
      <c r="V55"/>
      <c r="W55" s="29"/>
      <c r="X55"/>
      <c r="Y55"/>
      <c r="Z55"/>
      <c r="AA55" s="29" t="n">
        <v>0.25</v>
      </c>
      <c r="AB55" t="n">
        <v>4</v>
      </c>
      <c r="AC55" s="29"/>
      <c r="AD55"/>
      <c r="AE55" s="29" t="n">
        <v>1</v>
      </c>
      <c r="AF55" s="29"/>
      <c r="AG55" s="29"/>
      <c r="AH55"/>
      <c r="AI55" s="29"/>
      <c r="AJ55"/>
      <c r="AK55" t="n">
        <v>1</v>
      </c>
      <c r="AL55" s="12"/>
    </row>
    <row r="56" outlineLevel="1" hidden="0">
      <c r="A56" s="7" t="s">
        <v>15</v>
      </c>
      <c r="B56" t="s">
        <v>59</v>
      </c>
      <c r="C56" s="29" t="n">
        <v>0.199497277860361</v>
      </c>
      <c r="D56" t="n">
        <v>550</v>
      </c>
      <c r="E56" s="29" t="n">
        <v>0.0151794596776664</v>
      </c>
      <c r="F56" t="n">
        <v>105</v>
      </c>
      <c r="G56" s="29" t="n">
        <v>0.823042717233562</v>
      </c>
      <c r="H56" s="29" t="n">
        <v>0.0120076213436314</v>
      </c>
      <c r="I56" s="29" t="n">
        <v>0.0190143917105179</v>
      </c>
      <c r="J56" t="n">
        <v>105</v>
      </c>
      <c r="K56" s="29" t="n">
        <v>0.130755810034622</v>
      </c>
      <c r="L56" t="n">
        <v>105</v>
      </c>
      <c r="M56" t="n">
        <v>105</v>
      </c>
      <c r="N56" t="n">
        <v>105</v>
      </c>
      <c r="O56" s="29" t="n">
        <v>0.151855621940763</v>
      </c>
      <c r="P56" t="n">
        <v>283</v>
      </c>
      <c r="Q56" s="29" t="n">
        <v>0.027844074383175</v>
      </c>
      <c r="R56" t="n">
        <v>48</v>
      </c>
      <c r="S56" s="29" t="n">
        <v>0.738698518357651</v>
      </c>
      <c r="T56" s="29" t="n">
        <v>0.0321297885711689</v>
      </c>
      <c r="U56" s="29" t="n">
        <v>0.0174369588234713</v>
      </c>
      <c r="V56" t="n">
        <v>48</v>
      </c>
      <c r="W56" s="29" t="n">
        <v>0.183890659864534</v>
      </c>
      <c r="X56" t="n">
        <v>48</v>
      </c>
      <c r="Y56" t="n">
        <v>48</v>
      </c>
      <c r="Z56" t="n">
        <v>48</v>
      </c>
      <c r="AA56" s="29" t="n">
        <v>0.248189070339415</v>
      </c>
      <c r="AB56" t="n">
        <v>267</v>
      </c>
      <c r="AC56" s="29" t="n">
        <v>0.00762202830722137</v>
      </c>
      <c r="AD56" t="n">
        <v>57</v>
      </c>
      <c r="AE56" s="29" t="n">
        <v>0.873373936091931</v>
      </c>
      <c r="AF56" s="29"/>
      <c r="AG56" s="29" t="n">
        <v>0.0199557026830619</v>
      </c>
      <c r="AH56" t="n">
        <v>57</v>
      </c>
      <c r="AI56" s="29" t="n">
        <v>0.0990483329177856</v>
      </c>
      <c r="AJ56" t="n">
        <v>57</v>
      </c>
      <c r="AK56" t="n">
        <v>57</v>
      </c>
      <c r="AL56" s="12"/>
    </row>
    <row r="57" outlineLevel="1" hidden="0">
      <c r="A57" s="7" t="s">
        <v>15</v>
      </c>
      <c r="B57" t="s">
        <v>61</v>
      </c>
      <c r="C57" s="29" t="n">
        <v>0.601814647946458</v>
      </c>
      <c r="D57" t="n">
        <v>16</v>
      </c>
      <c r="E57" s="29"/>
      <c r="F57"/>
      <c r="G57" s="29" t="n">
        <v>1</v>
      </c>
      <c r="H57" s="29"/>
      <c r="I57" s="29"/>
      <c r="J57"/>
      <c r="K57" s="29"/>
      <c r="L57"/>
      <c r="M57" t="n">
        <v>7</v>
      </c>
      <c r="N57"/>
      <c r="O57" s="29" t="n">
        <v>0.656577631997733</v>
      </c>
      <c r="P57" t="n">
        <v>12</v>
      </c>
      <c r="Q57" s="29"/>
      <c r="R57"/>
      <c r="S57" s="29" t="n">
        <v>1</v>
      </c>
      <c r="T57" s="29"/>
      <c r="U57" s="29"/>
      <c r="V57"/>
      <c r="W57" s="29"/>
      <c r="X57"/>
      <c r="Y57" t="n">
        <v>6</v>
      </c>
      <c r="Z57"/>
      <c r="AA57" s="29" t="n">
        <v>0.419442570034643</v>
      </c>
      <c r="AB57" t="n">
        <v>4</v>
      </c>
      <c r="AC57" s="29"/>
      <c r="AD57"/>
      <c r="AE57" s="29" t="n">
        <v>1</v>
      </c>
      <c r="AF57" s="29"/>
      <c r="AG57" s="29"/>
      <c r="AH57"/>
      <c r="AI57" s="29"/>
      <c r="AJ57"/>
      <c r="AK57" t="n">
        <v>1</v>
      </c>
      <c r="AL57" s="12"/>
    </row>
    <row r="58" outlineLevel="1" hidden="0">
      <c r="A58" s="7" t="s">
        <v>15</v>
      </c>
      <c r="B58" t="s">
        <v>62</v>
      </c>
      <c r="C58" s="29" t="n">
        <v>0.20168786886795</v>
      </c>
      <c r="D58" t="n">
        <v>2</v>
      </c>
      <c r="E58" s="29"/>
      <c r="F58"/>
      <c r="G58" s="29"/>
      <c r="H58" s="29"/>
      <c r="I58" s="29"/>
      <c r="J58"/>
      <c r="K58" s="29"/>
      <c r="L58"/>
      <c r="M58"/>
      <c r="N58"/>
      <c r="O58" s="29"/>
      <c r="P58"/>
      <c r="Q58" s="29"/>
      <c r="R58"/>
      <c r="S58" s="29"/>
      <c r="T58" s="29"/>
      <c r="U58" s="29"/>
      <c r="V58"/>
      <c r="W58" s="29"/>
      <c r="X58"/>
      <c r="Y58"/>
      <c r="Z58"/>
      <c r="AA58" s="29" t="n">
        <v>1</v>
      </c>
      <c r="AB58" t="n">
        <v>1</v>
      </c>
      <c r="AC58" s="29"/>
      <c r="AD58"/>
      <c r="AE58" s="29"/>
      <c r="AF58" s="29"/>
      <c r="AG58" s="29"/>
      <c r="AH58"/>
      <c r="AI58" s="29"/>
      <c r="AJ58"/>
      <c r="AK58"/>
      <c r="AL58" s="12"/>
    </row>
    <row r="59" outlineLevel="1" hidden="0">
      <c r="A59" s="7" t="s">
        <v>15</v>
      </c>
      <c r="B59" t="s">
        <v>63</v>
      </c>
      <c r="C59" s="29" t="n">
        <v>0.0809704740443615</v>
      </c>
      <c r="D59" t="n">
        <v>66</v>
      </c>
      <c r="E59" s="29"/>
      <c r="F59"/>
      <c r="G59" s="29" t="n">
        <v>1</v>
      </c>
      <c r="H59" s="29"/>
      <c r="I59" s="29"/>
      <c r="J59"/>
      <c r="K59" s="29"/>
      <c r="L59"/>
      <c r="M59" t="n">
        <v>4</v>
      </c>
      <c r="N59"/>
      <c r="O59" s="29" t="n">
        <v>0.0318331332330997</v>
      </c>
      <c r="P59" t="n">
        <v>34</v>
      </c>
      <c r="Q59" s="29"/>
      <c r="R59"/>
      <c r="S59" s="29" t="n">
        <v>1</v>
      </c>
      <c r="T59" s="29"/>
      <c r="U59" s="29"/>
      <c r="V59"/>
      <c r="W59" s="29"/>
      <c r="X59"/>
      <c r="Y59" t="n">
        <v>1</v>
      </c>
      <c r="Z59"/>
      <c r="AA59" s="29" t="n">
        <v>0.12317592986379</v>
      </c>
      <c r="AB59" t="n">
        <v>32</v>
      </c>
      <c r="AC59" s="29"/>
      <c r="AD59"/>
      <c r="AE59" s="29" t="n">
        <v>1</v>
      </c>
      <c r="AF59" s="29"/>
      <c r="AG59" s="29"/>
      <c r="AH59"/>
      <c r="AI59" s="29"/>
      <c r="AJ59"/>
      <c r="AK59" t="n">
        <v>3</v>
      </c>
      <c r="AL59" s="12"/>
    </row>
    <row r="60" outlineLevel="1" hidden="0">
      <c r="A60" s="7" t="s">
        <v>15</v>
      </c>
      <c r="B60" t="s">
        <v>67</v>
      </c>
      <c r="C60" s="29" t="n">
        <v>0.322055112798633</v>
      </c>
      <c r="D60" t="n">
        <v>99</v>
      </c>
      <c r="E60" s="29"/>
      <c r="F60"/>
      <c r="G60" s="29" t="n">
        <v>0.855014706880914</v>
      </c>
      <c r="H60" s="29" t="n">
        <v>0.094095436572736</v>
      </c>
      <c r="I60" s="29" t="n">
        <v>0.0508898565463497</v>
      </c>
      <c r="J60" t="n">
        <v>23</v>
      </c>
      <c r="K60" s="29"/>
      <c r="L60"/>
      <c r="M60" t="n">
        <v>23</v>
      </c>
      <c r="N60" t="n">
        <v>23</v>
      </c>
      <c r="O60" s="29" t="n">
        <v>0.292559050896575</v>
      </c>
      <c r="P60" t="n">
        <v>42</v>
      </c>
      <c r="Q60" s="29"/>
      <c r="R60"/>
      <c r="S60" s="29" t="n">
        <v>0.738440266796606</v>
      </c>
      <c r="T60" s="29" t="n">
        <v>0.130779866601697</v>
      </c>
      <c r="U60" s="29" t="n">
        <v>0.130779866601697</v>
      </c>
      <c r="V60" t="n">
        <v>9</v>
      </c>
      <c r="W60" s="29"/>
      <c r="X60"/>
      <c r="Y60" t="n">
        <v>9</v>
      </c>
      <c r="Z60" t="n">
        <v>9</v>
      </c>
      <c r="AA60" s="29" t="n">
        <v>0.347156676132032</v>
      </c>
      <c r="AB60" t="n">
        <v>57</v>
      </c>
      <c r="AC60" s="29"/>
      <c r="AD60"/>
      <c r="AE60" s="29" t="n">
        <v>0.929272508685565</v>
      </c>
      <c r="AF60" s="29" t="n">
        <v>0.0707274913144355</v>
      </c>
      <c r="AG60" s="29"/>
      <c r="AH60"/>
      <c r="AI60" s="29"/>
      <c r="AJ60"/>
      <c r="AK60" t="n">
        <v>14</v>
      </c>
      <c r="AL60" s="12" t="n">
        <v>14</v>
      </c>
    </row>
    <row r="61" outlineLevel="1" hidden="0">
      <c r="A61" s="7" t="s">
        <v>15</v>
      </c>
      <c r="B61" t="s">
        <v>71</v>
      </c>
      <c r="C61" s="29" t="n">
        <v>0.174662552138487</v>
      </c>
      <c r="D61" t="n">
        <v>8</v>
      </c>
      <c r="E61" s="29"/>
      <c r="F61"/>
      <c r="G61" s="29" t="n">
        <v>1</v>
      </c>
      <c r="H61" s="29"/>
      <c r="I61" s="29"/>
      <c r="J61"/>
      <c r="K61" s="29"/>
      <c r="L61"/>
      <c r="M61" t="n">
        <v>1</v>
      </c>
      <c r="N61"/>
      <c r="O61" s="29"/>
      <c r="P61"/>
      <c r="Q61" s="29"/>
      <c r="R61"/>
      <c r="S61" s="29"/>
      <c r="T61" s="29"/>
      <c r="U61" s="29"/>
      <c r="V61"/>
      <c r="W61" s="29"/>
      <c r="X61"/>
      <c r="Y61"/>
      <c r="Z61"/>
      <c r="AA61" s="29" t="n">
        <v>0.40421340038356</v>
      </c>
      <c r="AB61" t="n">
        <v>3</v>
      </c>
      <c r="AC61" s="29"/>
      <c r="AD61"/>
      <c r="AE61" s="29" t="n">
        <v>1</v>
      </c>
      <c r="AF61" s="29"/>
      <c r="AG61" s="29"/>
      <c r="AH61"/>
      <c r="AI61" s="29"/>
      <c r="AJ61"/>
      <c r="AK61" t="n">
        <v>1</v>
      </c>
      <c r="AL61" s="12"/>
    </row>
    <row r="62" outlineLevel="1" hidden="0">
      <c r="A62" s="7" t="s">
        <v>15</v>
      </c>
      <c r="B62" t="s">
        <v>72</v>
      </c>
      <c r="C62" s="29" t="n">
        <v>0.0798509512824375</v>
      </c>
      <c r="D62" t="n">
        <v>39</v>
      </c>
      <c r="E62" s="29"/>
      <c r="F62"/>
      <c r="G62" s="29" t="n">
        <v>1</v>
      </c>
      <c r="H62" s="29"/>
      <c r="I62" s="29"/>
      <c r="J62"/>
      <c r="K62" s="29"/>
      <c r="L62"/>
      <c r="M62" t="n">
        <v>3</v>
      </c>
      <c r="N62"/>
      <c r="O62" s="29" t="n">
        <v>0.0940255932334637</v>
      </c>
      <c r="P62" t="n">
        <v>21</v>
      </c>
      <c r="Q62" s="29"/>
      <c r="R62"/>
      <c r="S62" s="29" t="n">
        <v>1</v>
      </c>
      <c r="T62" s="29"/>
      <c r="U62" s="29"/>
      <c r="V62"/>
      <c r="W62" s="29"/>
      <c r="X62"/>
      <c r="Y62" t="n">
        <v>2</v>
      </c>
      <c r="Z62"/>
      <c r="AA62" s="29" t="n">
        <v>0.0615436275766917</v>
      </c>
      <c r="AB62" t="n">
        <v>18</v>
      </c>
      <c r="AC62" s="29"/>
      <c r="AD62"/>
      <c r="AE62" s="29" t="n">
        <v>1</v>
      </c>
      <c r="AF62" s="29"/>
      <c r="AG62" s="29"/>
      <c r="AH62"/>
      <c r="AI62" s="29"/>
      <c r="AJ62"/>
      <c r="AK62" t="n">
        <v>1</v>
      </c>
      <c r="AL62" s="12"/>
    </row>
    <row r="63" outlineLevel="1" hidden="0">
      <c r="A63" s="7" t="s">
        <v>15</v>
      </c>
      <c r="B63" t="s">
        <v>73</v>
      </c>
      <c r="C63" s="29" t="n">
        <v>0.4</v>
      </c>
      <c r="D63" t="n">
        <v>5</v>
      </c>
      <c r="E63" s="29"/>
      <c r="F63"/>
      <c r="G63" s="29"/>
      <c r="H63" s="29"/>
      <c r="I63" s="29"/>
      <c r="J63"/>
      <c r="K63" s="29"/>
      <c r="L63"/>
      <c r="M63"/>
      <c r="N63"/>
      <c r="O63" s="29" t="n">
        <v>0.333333333333333</v>
      </c>
      <c r="P63" t="n">
        <v>3</v>
      </c>
      <c r="Q63" s="29"/>
      <c r="R63"/>
      <c r="S63" s="29"/>
      <c r="T63" s="29"/>
      <c r="U63" s="29"/>
      <c r="V63"/>
      <c r="W63" s="29"/>
      <c r="X63"/>
      <c r="Y63"/>
      <c r="Z63"/>
      <c r="AA63" s="29" t="n">
        <v>0.5</v>
      </c>
      <c r="AB63" t="n">
        <v>2</v>
      </c>
      <c r="AC63" s="29"/>
      <c r="AD63"/>
      <c r="AE63" s="29"/>
      <c r="AF63" s="29"/>
      <c r="AG63" s="29"/>
      <c r="AH63"/>
      <c r="AI63" s="29"/>
      <c r="AJ63"/>
      <c r="AK63"/>
      <c r="AL63" s="12"/>
    </row>
    <row r="64" outlineLevel="1" hidden="0">
      <c r="A64" s="7" t="s">
        <v>15</v>
      </c>
      <c r="B64" t="s">
        <v>75</v>
      </c>
      <c r="C64" s="29" t="n">
        <v>0.25260866297193</v>
      </c>
      <c r="D64" t="n">
        <v>6</v>
      </c>
      <c r="E64" s="29"/>
      <c r="F64"/>
      <c r="G64" s="29"/>
      <c r="H64" s="29"/>
      <c r="I64" s="29"/>
      <c r="J64"/>
      <c r="K64" s="29" t="n">
        <v>1</v>
      </c>
      <c r="L64" t="n">
        <v>1</v>
      </c>
      <c r="M64"/>
      <c r="N64"/>
      <c r="O64" s="29"/>
      <c r="P64"/>
      <c r="Q64" s="29"/>
      <c r="R64"/>
      <c r="S64" s="29"/>
      <c r="T64" s="29"/>
      <c r="U64" s="29"/>
      <c r="V64"/>
      <c r="W64" s="29"/>
      <c r="X64"/>
      <c r="Y64"/>
      <c r="Z64"/>
      <c r="AA64" s="29" t="n">
        <v>0.372005548713239</v>
      </c>
      <c r="AB64" t="n">
        <v>3</v>
      </c>
      <c r="AC64" s="29"/>
      <c r="AD64"/>
      <c r="AE64" s="29"/>
      <c r="AF64" s="29"/>
      <c r="AG64" s="29"/>
      <c r="AH64"/>
      <c r="AI64" s="29" t="n">
        <v>1</v>
      </c>
      <c r="AJ64" t="n">
        <v>1</v>
      </c>
      <c r="AK64"/>
      <c r="AL64" s="12"/>
    </row>
    <row r="65" outlineLevel="1" hidden="0">
      <c r="A65" s="7" t="s">
        <v>15</v>
      </c>
      <c r="B65" t="s">
        <v>76</v>
      </c>
      <c r="C65" s="29" t="n">
        <v>0.467733236414238</v>
      </c>
      <c r="D65" t="n">
        <v>8</v>
      </c>
      <c r="E65" s="29"/>
      <c r="F65"/>
      <c r="G65" s="29"/>
      <c r="H65" s="29"/>
      <c r="I65" s="29"/>
      <c r="J65"/>
      <c r="K65" s="29"/>
      <c r="L65"/>
      <c r="M65"/>
      <c r="N65"/>
      <c r="O65" s="29" t="n">
        <v>0.672655846429783</v>
      </c>
      <c r="P65" t="n">
        <v>4</v>
      </c>
      <c r="Q65" s="29"/>
      <c r="R65"/>
      <c r="S65" s="29"/>
      <c r="T65" s="29"/>
      <c r="U65" s="29"/>
      <c r="V65"/>
      <c r="W65" s="29"/>
      <c r="X65"/>
      <c r="Y65"/>
      <c r="Z65"/>
      <c r="AA65" s="29"/>
      <c r="AB65"/>
      <c r="AC65" s="29"/>
      <c r="AD65"/>
      <c r="AE65" s="29"/>
      <c r="AF65" s="29"/>
      <c r="AG65" s="29"/>
      <c r="AH65"/>
      <c r="AI65" s="29"/>
      <c r="AJ65"/>
      <c r="AK65"/>
      <c r="AL65" s="12"/>
    </row>
    <row r="66" outlineLevel="1" hidden="0">
      <c r="A66" s="7" t="s">
        <v>15</v>
      </c>
      <c r="B66" t="s">
        <v>78</v>
      </c>
      <c r="C66" s="29" t="n">
        <v>0.14999691903963</v>
      </c>
      <c r="D66" t="n">
        <v>48</v>
      </c>
      <c r="E66" s="29"/>
      <c r="F66"/>
      <c r="G66" s="29" t="n">
        <v>1</v>
      </c>
      <c r="H66" s="29"/>
      <c r="I66" s="29"/>
      <c r="J66"/>
      <c r="K66" s="29"/>
      <c r="L66"/>
      <c r="M66" t="n">
        <v>3</v>
      </c>
      <c r="N66"/>
      <c r="O66" s="29" t="n">
        <v>0.00562744129205368</v>
      </c>
      <c r="P66" t="n">
        <v>24</v>
      </c>
      <c r="Q66" s="29"/>
      <c r="R66"/>
      <c r="S66" s="29"/>
      <c r="T66" s="29"/>
      <c r="U66" s="29"/>
      <c r="V66"/>
      <c r="W66" s="29"/>
      <c r="X66"/>
      <c r="Y66"/>
      <c r="Z66"/>
      <c r="AA66" s="29" t="n">
        <v>0.31885604856308</v>
      </c>
      <c r="AB66" t="n">
        <v>24</v>
      </c>
      <c r="AC66" s="29"/>
      <c r="AD66"/>
      <c r="AE66" s="29" t="n">
        <v>1</v>
      </c>
      <c r="AF66" s="29"/>
      <c r="AG66" s="29"/>
      <c r="AH66"/>
      <c r="AI66" s="29"/>
      <c r="AJ66"/>
      <c r="AK66" t="n">
        <v>3</v>
      </c>
      <c r="AL66" s="12"/>
    </row>
    <row r="67" outlineLevel="1" hidden="0">
      <c r="A67" s="7" t="s">
        <v>15</v>
      </c>
      <c r="B67" t="s">
        <v>81</v>
      </c>
      <c r="C67" s="29" t="n">
        <v>0.108401409611718</v>
      </c>
      <c r="D67" t="n">
        <v>22</v>
      </c>
      <c r="E67" s="29"/>
      <c r="F67"/>
      <c r="G67" s="29" t="n">
        <v>1</v>
      </c>
      <c r="H67" s="29"/>
      <c r="I67" s="29"/>
      <c r="J67"/>
      <c r="K67" s="29"/>
      <c r="L67"/>
      <c r="M67" t="n">
        <v>3</v>
      </c>
      <c r="N67"/>
      <c r="O67" s="29" t="n">
        <v>0.165279437950583</v>
      </c>
      <c r="P67" t="n">
        <v>11</v>
      </c>
      <c r="Q67" s="29"/>
      <c r="R67"/>
      <c r="S67" s="29" t="n">
        <v>1</v>
      </c>
      <c r="T67" s="29"/>
      <c r="U67" s="29"/>
      <c r="V67"/>
      <c r="W67" s="29"/>
      <c r="X67"/>
      <c r="Y67" t="n">
        <v>1</v>
      </c>
      <c r="Z67"/>
      <c r="AA67" s="29" t="n">
        <v>0.0503303401997861</v>
      </c>
      <c r="AB67" t="n">
        <v>11</v>
      </c>
      <c r="AC67" s="29"/>
      <c r="AD67"/>
      <c r="AE67" s="29" t="n">
        <v>1</v>
      </c>
      <c r="AF67" s="29"/>
      <c r="AG67" s="29"/>
      <c r="AH67"/>
      <c r="AI67" s="29"/>
      <c r="AJ67"/>
      <c r="AK67" t="n">
        <v>2</v>
      </c>
      <c r="AL67" s="12"/>
    </row>
    <row r="68" outlineLevel="1" hidden="0">
      <c r="A68" s="7" t="s">
        <v>15</v>
      </c>
      <c r="B68" t="s">
        <v>82</v>
      </c>
      <c r="C68" s="29" t="n">
        <v>0.239034848580489</v>
      </c>
      <c r="D68" t="n">
        <v>32</v>
      </c>
      <c r="E68" s="29"/>
      <c r="F68"/>
      <c r="G68" s="29" t="n">
        <v>1</v>
      </c>
      <c r="H68" s="29"/>
      <c r="I68" s="29"/>
      <c r="J68"/>
      <c r="K68" s="29"/>
      <c r="L68"/>
      <c r="M68" t="n">
        <v>6</v>
      </c>
      <c r="N68"/>
      <c r="O68" s="29" t="n">
        <v>0.0997590400709302</v>
      </c>
      <c r="P68" t="n">
        <v>17</v>
      </c>
      <c r="Q68" s="29"/>
      <c r="R68"/>
      <c r="S68" s="29" t="n">
        <v>1</v>
      </c>
      <c r="T68" s="29"/>
      <c r="U68" s="29"/>
      <c r="V68"/>
      <c r="W68" s="29"/>
      <c r="X68"/>
      <c r="Y68" t="n">
        <v>1</v>
      </c>
      <c r="Z68"/>
      <c r="AA68" s="29" t="n">
        <v>0.364540937402452</v>
      </c>
      <c r="AB68" t="n">
        <v>15</v>
      </c>
      <c r="AC68" s="29"/>
      <c r="AD68"/>
      <c r="AE68" s="29" t="n">
        <v>1</v>
      </c>
      <c r="AF68" s="29"/>
      <c r="AG68" s="29"/>
      <c r="AH68"/>
      <c r="AI68" s="29"/>
      <c r="AJ68"/>
      <c r="AK68" t="n">
        <v>5</v>
      </c>
      <c r="AL68" s="12"/>
    </row>
    <row r="69" outlineLevel="1" hidden="0">
      <c r="A69" s="7" t="s">
        <v>15</v>
      </c>
      <c r="B69" t="s">
        <v>164</v>
      </c>
      <c r="C69" s="29" t="n">
        <v>1</v>
      </c>
      <c r="D69" t="n">
        <v>3</v>
      </c>
      <c r="E69" s="29"/>
      <c r="F69"/>
      <c r="G69" s="29" t="n">
        <v>1</v>
      </c>
      <c r="H69" s="29"/>
      <c r="I69" s="29"/>
      <c r="J69"/>
      <c r="K69" s="29"/>
      <c r="L69"/>
      <c r="M69" t="n">
        <v>3</v>
      </c>
      <c r="N69"/>
      <c r="O69" s="29" t="n">
        <v>1</v>
      </c>
      <c r="P69" t="n">
        <v>2</v>
      </c>
      <c r="Q69" s="29"/>
      <c r="R69"/>
      <c r="S69" s="29" t="n">
        <v>1</v>
      </c>
      <c r="T69" s="29"/>
      <c r="U69" s="29"/>
      <c r="V69"/>
      <c r="W69" s="29"/>
      <c r="X69"/>
      <c r="Y69" t="n">
        <v>2</v>
      </c>
      <c r="Z69"/>
      <c r="AA69" s="29" t="n">
        <v>1</v>
      </c>
      <c r="AB69" t="n">
        <v>1</v>
      </c>
      <c r="AC69" s="29"/>
      <c r="AD69"/>
      <c r="AE69" s="29" t="n">
        <v>1</v>
      </c>
      <c r="AF69" s="29"/>
      <c r="AG69" s="29"/>
      <c r="AH69"/>
      <c r="AI69" s="29"/>
      <c r="AJ69"/>
      <c r="AK69" t="n">
        <v>1</v>
      </c>
      <c r="AL69" s="12"/>
    </row>
    <row r="70" outlineLevel="1" hidden="0">
      <c r="A70" s="7" t="s">
        <v>15</v>
      </c>
      <c r="B70" t="s">
        <v>86</v>
      </c>
      <c r="C70" s="29" t="n">
        <v>0.41393828926357</v>
      </c>
      <c r="D70" t="n">
        <v>94</v>
      </c>
      <c r="E70" s="29"/>
      <c r="F70"/>
      <c r="G70" s="29" t="n">
        <v>0.887432329934297</v>
      </c>
      <c r="H70" s="29"/>
      <c r="I70" s="29"/>
      <c r="J70"/>
      <c r="K70" s="29" t="n">
        <v>0.112567670065703</v>
      </c>
      <c r="L70" t="n">
        <v>38</v>
      </c>
      <c r="M70" t="n">
        <v>38</v>
      </c>
      <c r="N70"/>
      <c r="O70" s="29" t="n">
        <v>0.357729362753331</v>
      </c>
      <c r="P70" t="n">
        <v>50</v>
      </c>
      <c r="Q70" s="29"/>
      <c r="R70"/>
      <c r="S70" s="29" t="n">
        <v>1</v>
      </c>
      <c r="T70" s="29"/>
      <c r="U70" s="29"/>
      <c r="V70"/>
      <c r="W70" s="29"/>
      <c r="X70"/>
      <c r="Y70" t="n">
        <v>18</v>
      </c>
      <c r="Z70"/>
      <c r="AA70" s="29" t="n">
        <v>0.478523028012413</v>
      </c>
      <c r="AB70" t="n">
        <v>44</v>
      </c>
      <c r="AC70" s="29"/>
      <c r="AD70"/>
      <c r="AE70" s="29" t="n">
        <v>0.781593587519841</v>
      </c>
      <c r="AF70" s="29"/>
      <c r="AG70" s="29"/>
      <c r="AH70"/>
      <c r="AI70" s="29" t="n">
        <v>0.218406412480159</v>
      </c>
      <c r="AJ70" t="n">
        <v>20</v>
      </c>
      <c r="AK70" t="n">
        <v>20</v>
      </c>
      <c r="AL70" s="12"/>
    </row>
    <row r="71" outlineLevel="1" hidden="0">
      <c r="A71" s="7" t="s">
        <v>15</v>
      </c>
      <c r="B71" t="s">
        <v>87</v>
      </c>
      <c r="C71" s="29" t="n">
        <v>0.274260403947279</v>
      </c>
      <c r="D71" t="n">
        <v>72</v>
      </c>
      <c r="E71" s="29"/>
      <c r="F71"/>
      <c r="G71" s="29" t="n">
        <v>0.552111175234569</v>
      </c>
      <c r="H71" s="29"/>
      <c r="I71" s="29" t="n">
        <v>0.0598701847861936</v>
      </c>
      <c r="J71" t="n">
        <v>20</v>
      </c>
      <c r="K71" s="29" t="n">
        <v>0.388018639979237</v>
      </c>
      <c r="L71" t="n">
        <v>20</v>
      </c>
      <c r="M71" t="n">
        <v>20</v>
      </c>
      <c r="N71"/>
      <c r="O71" s="29" t="n">
        <v>0.274838228626272</v>
      </c>
      <c r="P71" t="n">
        <v>39</v>
      </c>
      <c r="Q71" s="29"/>
      <c r="R71"/>
      <c r="S71" s="29" t="n">
        <v>0.678084004554267</v>
      </c>
      <c r="T71" s="29"/>
      <c r="U71" s="29"/>
      <c r="V71"/>
      <c r="W71" s="29" t="n">
        <v>0.321915995445733</v>
      </c>
      <c r="X71" t="n">
        <v>11</v>
      </c>
      <c r="Y71" t="n">
        <v>11</v>
      </c>
      <c r="Z71"/>
      <c r="AA71" s="29" t="n">
        <v>0.273742442884263</v>
      </c>
      <c r="AB71" t="n">
        <v>33</v>
      </c>
      <c r="AC71" s="29"/>
      <c r="AD71"/>
      <c r="AE71" s="29" t="n">
        <v>0.438737320597353</v>
      </c>
      <c r="AF71" s="29"/>
      <c r="AG71" s="29" t="n">
        <v>0.113752547067881</v>
      </c>
      <c r="AH71" t="n">
        <v>9</v>
      </c>
      <c r="AI71" s="29" t="n">
        <v>0.447510132334766</v>
      </c>
      <c r="AJ71" t="n">
        <v>9</v>
      </c>
      <c r="AK71" t="n">
        <v>9</v>
      </c>
      <c r="AL71" s="12"/>
    </row>
    <row r="72" outlineLevel="1" hidden="0">
      <c r="A72" s="7" t="s">
        <v>15</v>
      </c>
      <c r="B72" t="s">
        <v>165</v>
      </c>
      <c r="C72" s="29" t="n">
        <v>1</v>
      </c>
      <c r="D72" t="n">
        <v>1</v>
      </c>
      <c r="E72" s="29"/>
      <c r="F72"/>
      <c r="G72" s="29"/>
      <c r="H72" s="29"/>
      <c r="I72" s="29"/>
      <c r="J72"/>
      <c r="K72" s="29"/>
      <c r="L72"/>
      <c r="M72"/>
      <c r="N72"/>
      <c r="O72" s="29"/>
      <c r="P72"/>
      <c r="Q72" s="29"/>
      <c r="R72"/>
      <c r="S72" s="29"/>
      <c r="T72" s="29"/>
      <c r="U72" s="29"/>
      <c r="V72"/>
      <c r="W72" s="29"/>
      <c r="X72"/>
      <c r="Y72"/>
      <c r="Z72"/>
      <c r="AA72" s="29" t="n">
        <v>1</v>
      </c>
      <c r="AB72" t="n">
        <v>1</v>
      </c>
      <c r="AC72" s="29"/>
      <c r="AD72"/>
      <c r="AE72" s="29"/>
      <c r="AF72" s="29"/>
      <c r="AG72" s="29"/>
      <c r="AH72"/>
      <c r="AI72" s="29"/>
      <c r="AJ72"/>
      <c r="AK72"/>
      <c r="AL72" s="12"/>
    </row>
    <row r="73" outlineLevel="1" hidden="0">
      <c r="A73" s="7" t="s">
        <v>15</v>
      </c>
      <c r="B73" t="s">
        <v>89</v>
      </c>
      <c r="C73" s="29" t="n">
        <v>0.138568550110108</v>
      </c>
      <c r="D73" t="n">
        <v>1044</v>
      </c>
      <c r="E73" s="29" t="n">
        <v>0.0529026052410717</v>
      </c>
      <c r="F73" t="n">
        <v>111</v>
      </c>
      <c r="G73" s="29" t="n">
        <v>0.727066738367275</v>
      </c>
      <c r="H73" s="29" t="n">
        <v>0.0205419879607602</v>
      </c>
      <c r="I73" s="29" t="n">
        <v>0.0204198705729545</v>
      </c>
      <c r="J73" t="n">
        <v>111</v>
      </c>
      <c r="K73" s="29" t="n">
        <v>0.179068797857939</v>
      </c>
      <c r="L73" t="n">
        <v>111</v>
      </c>
      <c r="M73" t="n">
        <v>111</v>
      </c>
      <c r="N73" t="n">
        <v>111</v>
      </c>
      <c r="O73" s="29" t="n">
        <v>0.117701307663321</v>
      </c>
      <c r="P73" t="n">
        <v>557</v>
      </c>
      <c r="Q73" s="29" t="n">
        <v>0.126097880500195</v>
      </c>
      <c r="R73" t="n">
        <v>47</v>
      </c>
      <c r="S73" s="29" t="n">
        <v>0.684824965325877</v>
      </c>
      <c r="T73" s="29" t="n">
        <v>0.0290877458624884</v>
      </c>
      <c r="U73" s="29" t="n">
        <v>0.00509815149529819</v>
      </c>
      <c r="V73" t="n">
        <v>47</v>
      </c>
      <c r="W73" s="29" t="n">
        <v>0.154891256816141</v>
      </c>
      <c r="X73" t="n">
        <v>47</v>
      </c>
      <c r="Y73" t="n">
        <v>47</v>
      </c>
      <c r="Z73" t="n">
        <v>47</v>
      </c>
      <c r="AA73" s="29" t="n">
        <v>0.161866968319389</v>
      </c>
      <c r="AB73" t="n">
        <v>487</v>
      </c>
      <c r="AC73" s="29"/>
      <c r="AD73"/>
      <c r="AE73" s="29" t="n">
        <v>0.75759739538005</v>
      </c>
      <c r="AF73" s="29" t="n">
        <v>0.0143654573696748</v>
      </c>
      <c r="AG73" s="29" t="n">
        <v>0.0314937937614436</v>
      </c>
      <c r="AH73" t="n">
        <v>64</v>
      </c>
      <c r="AI73" s="29" t="n">
        <v>0.196543353488831</v>
      </c>
      <c r="AJ73" t="n">
        <v>64</v>
      </c>
      <c r="AK73" t="n">
        <v>64</v>
      </c>
      <c r="AL73" s="12" t="n">
        <v>64</v>
      </c>
    </row>
    <row r="74" outlineLevel="1" hidden="0">
      <c r="A74" s="7" t="s">
        <v>15</v>
      </c>
      <c r="B74" t="s">
        <v>90</v>
      </c>
      <c r="C74" s="29" t="n">
        <v>0.0892074845793253</v>
      </c>
      <c r="D74" t="n">
        <v>75</v>
      </c>
      <c r="E74" s="29"/>
      <c r="F74"/>
      <c r="G74" s="29" t="n">
        <v>1</v>
      </c>
      <c r="H74" s="29"/>
      <c r="I74" s="29"/>
      <c r="J74"/>
      <c r="K74" s="29"/>
      <c r="L74"/>
      <c r="M74" t="n">
        <v>6</v>
      </c>
      <c r="N74"/>
      <c r="O74" s="29" t="n">
        <v>0.0946981337482945</v>
      </c>
      <c r="P74" t="n">
        <v>43</v>
      </c>
      <c r="Q74" s="29"/>
      <c r="R74"/>
      <c r="S74" s="29" t="n">
        <v>1</v>
      </c>
      <c r="T74" s="29"/>
      <c r="U74" s="29"/>
      <c r="V74"/>
      <c r="W74" s="29"/>
      <c r="X74"/>
      <c r="Y74" t="n">
        <v>4</v>
      </c>
      <c r="Z74"/>
      <c r="AA74" s="29" t="n">
        <v>0.0824896042233977</v>
      </c>
      <c r="AB74" t="n">
        <v>32</v>
      </c>
      <c r="AC74" s="29"/>
      <c r="AD74"/>
      <c r="AE74" s="29" t="n">
        <v>1</v>
      </c>
      <c r="AF74" s="29"/>
      <c r="AG74" s="29"/>
      <c r="AH74"/>
      <c r="AI74" s="29"/>
      <c r="AJ74"/>
      <c r="AK74" t="n">
        <v>2</v>
      </c>
      <c r="AL74" s="12"/>
    </row>
    <row r="75" outlineLevel="1" hidden="0">
      <c r="A75" s="7" t="s">
        <v>15</v>
      </c>
      <c r="B75" t="s">
        <v>91</v>
      </c>
      <c r="C75" s="29" t="n">
        <v>0.055085056092087</v>
      </c>
      <c r="D75" t="n">
        <v>9</v>
      </c>
      <c r="E75" s="29"/>
      <c r="F75"/>
      <c r="G75" s="29"/>
      <c r="H75" s="29"/>
      <c r="I75" s="29"/>
      <c r="J75"/>
      <c r="K75" s="29" t="n">
        <v>1</v>
      </c>
      <c r="L75" t="n">
        <v>1</v>
      </c>
      <c r="M75"/>
      <c r="N75"/>
      <c r="O75" s="29" t="n">
        <v>0.0659902930795474</v>
      </c>
      <c r="P75" t="n">
        <v>6</v>
      </c>
      <c r="Q75" s="29"/>
      <c r="R75"/>
      <c r="S75" s="29"/>
      <c r="T75" s="29"/>
      <c r="U75" s="29"/>
      <c r="V75"/>
      <c r="W75" s="29" t="n">
        <v>1</v>
      </c>
      <c r="X75" t="n">
        <v>1</v>
      </c>
      <c r="Y75"/>
      <c r="Z75"/>
      <c r="AA75" s="29"/>
      <c r="AB75"/>
      <c r="AC75" s="29"/>
      <c r="AD75"/>
      <c r="AE75" s="29"/>
      <c r="AF75" s="29"/>
      <c r="AG75" s="29"/>
      <c r="AH75"/>
      <c r="AI75" s="29"/>
      <c r="AJ75"/>
      <c r="AK75"/>
      <c r="AL75" s="12"/>
    </row>
    <row r="76" outlineLevel="1" hidden="0">
      <c r="A76" s="7" t="s">
        <v>15</v>
      </c>
      <c r="B76" t="s">
        <v>95</v>
      </c>
      <c r="C76" s="29" t="n">
        <v>0.378756418241881</v>
      </c>
      <c r="D76" t="n">
        <v>12</v>
      </c>
      <c r="E76" s="29"/>
      <c r="F76"/>
      <c r="G76" s="29" t="n">
        <v>0.666666666666667</v>
      </c>
      <c r="H76" s="29"/>
      <c r="I76" s="29" t="n">
        <v>0.333333333333333</v>
      </c>
      <c r="J76" t="n">
        <v>3</v>
      </c>
      <c r="K76" s="29"/>
      <c r="L76"/>
      <c r="M76" t="n">
        <v>3</v>
      </c>
      <c r="N76"/>
      <c r="O76" s="29"/>
      <c r="P76"/>
      <c r="Q76" s="29"/>
      <c r="R76"/>
      <c r="S76" s="29"/>
      <c r="T76" s="29"/>
      <c r="U76" s="29"/>
      <c r="V76"/>
      <c r="W76" s="29"/>
      <c r="X76"/>
      <c r="Y76"/>
      <c r="Z76"/>
      <c r="AA76" s="29" t="n">
        <v>0.517187359324517</v>
      </c>
      <c r="AB76" t="n">
        <v>9</v>
      </c>
      <c r="AC76" s="29"/>
      <c r="AD76"/>
      <c r="AE76" s="29" t="n">
        <v>0.666666666666667</v>
      </c>
      <c r="AF76" s="29"/>
      <c r="AG76" s="29" t="n">
        <v>0.333333333333333</v>
      </c>
      <c r="AH76" t="n">
        <v>3</v>
      </c>
      <c r="AI76" s="29"/>
      <c r="AJ76"/>
      <c r="AK76" t="n">
        <v>3</v>
      </c>
      <c r="AL76" s="12"/>
    </row>
    <row r="77" outlineLevel="1" hidden="0">
      <c r="A77" s="7" t="s">
        <v>15</v>
      </c>
      <c r="B77" t="s">
        <v>96</v>
      </c>
      <c r="C77" s="29" t="n">
        <v>0.140272796218024</v>
      </c>
      <c r="D77" t="n">
        <v>132</v>
      </c>
      <c r="E77" s="29"/>
      <c r="F77"/>
      <c r="G77" s="29" t="n">
        <v>0.840380962298102</v>
      </c>
      <c r="H77" s="29"/>
      <c r="I77" s="29"/>
      <c r="J77"/>
      <c r="K77" s="29" t="n">
        <v>0.159619037701898</v>
      </c>
      <c r="L77" t="n">
        <v>16</v>
      </c>
      <c r="M77" t="n">
        <v>16</v>
      </c>
      <c r="N77"/>
      <c r="O77" s="29" t="n">
        <v>0.15565384575916</v>
      </c>
      <c r="P77" t="n">
        <v>59</v>
      </c>
      <c r="Q77" s="29"/>
      <c r="R77"/>
      <c r="S77" s="29" t="n">
        <v>0.927060378159611</v>
      </c>
      <c r="T77" s="29"/>
      <c r="U77" s="29"/>
      <c r="V77"/>
      <c r="W77" s="29" t="n">
        <v>0.0729396218403894</v>
      </c>
      <c r="X77" t="n">
        <v>7</v>
      </c>
      <c r="Y77" t="n">
        <v>7</v>
      </c>
      <c r="Z77"/>
      <c r="AA77" s="29" t="n">
        <v>0.130312115211996</v>
      </c>
      <c r="AB77" t="n">
        <v>73</v>
      </c>
      <c r="AC77" s="29"/>
      <c r="AD77"/>
      <c r="AE77" s="29" t="n">
        <v>0.78483697539222</v>
      </c>
      <c r="AF77" s="29"/>
      <c r="AG77" s="29"/>
      <c r="AH77"/>
      <c r="AI77" s="29" t="n">
        <v>0.21516302460778</v>
      </c>
      <c r="AJ77" t="n">
        <v>9</v>
      </c>
      <c r="AK77" t="n">
        <v>9</v>
      </c>
      <c r="AL77" s="12"/>
    </row>
    <row r="78" outlineLevel="1" hidden="0">
      <c r="A78" s="7" t="s">
        <v>15</v>
      </c>
      <c r="B78" t="s">
        <v>104</v>
      </c>
      <c r="C78" s="29" t="n">
        <v>0.16219946239836</v>
      </c>
      <c r="D78" t="n">
        <v>26</v>
      </c>
      <c r="E78" s="29"/>
      <c r="F78"/>
      <c r="G78" s="29"/>
      <c r="H78" s="29"/>
      <c r="I78" s="29"/>
      <c r="J78"/>
      <c r="K78" s="29" t="n">
        <v>1</v>
      </c>
      <c r="L78" t="n">
        <v>2</v>
      </c>
      <c r="M78"/>
      <c r="N78"/>
      <c r="O78" s="29"/>
      <c r="P78"/>
      <c r="Q78" s="29"/>
      <c r="R78"/>
      <c r="S78" s="29"/>
      <c r="T78" s="29"/>
      <c r="U78" s="29"/>
      <c r="V78"/>
      <c r="W78" s="29"/>
      <c r="X78"/>
      <c r="Y78"/>
      <c r="Z78"/>
      <c r="AA78" s="29" t="n">
        <v>0.295703733575691</v>
      </c>
      <c r="AB78" t="n">
        <v>12</v>
      </c>
      <c r="AC78" s="29"/>
      <c r="AD78"/>
      <c r="AE78" s="29"/>
      <c r="AF78" s="29"/>
      <c r="AG78" s="29"/>
      <c r="AH78"/>
      <c r="AI78" s="29" t="n">
        <v>1</v>
      </c>
      <c r="AJ78" t="n">
        <v>2</v>
      </c>
      <c r="AK78"/>
      <c r="AL78" s="12"/>
    </row>
    <row r="79" outlineLevel="1" hidden="0">
      <c r="A79" s="7" t="s">
        <v>15</v>
      </c>
      <c r="B79" t="s">
        <v>106</v>
      </c>
      <c r="C79" s="29" t="n">
        <v>0.209124072826589</v>
      </c>
      <c r="D79" t="n">
        <v>60</v>
      </c>
      <c r="E79" s="29"/>
      <c r="F79"/>
      <c r="G79" s="29" t="n">
        <v>0.953864251152359</v>
      </c>
      <c r="H79" s="29"/>
      <c r="I79" s="29"/>
      <c r="J79"/>
      <c r="K79" s="29" t="n">
        <v>0.0461357488476411</v>
      </c>
      <c r="L79" t="n">
        <v>10</v>
      </c>
      <c r="M79" t="n">
        <v>10</v>
      </c>
      <c r="N79"/>
      <c r="O79" s="29" t="n">
        <v>0.159863941207014</v>
      </c>
      <c r="P79" t="n">
        <v>38</v>
      </c>
      <c r="Q79" s="29"/>
      <c r="R79"/>
      <c r="S79" s="29" t="n">
        <v>0.90727926301587</v>
      </c>
      <c r="T79" s="29"/>
      <c r="U79" s="29"/>
      <c r="V79"/>
      <c r="W79" s="29" t="n">
        <v>0.0927207369841301</v>
      </c>
      <c r="X79" t="n">
        <v>5</v>
      </c>
      <c r="Y79" t="n">
        <v>5</v>
      </c>
      <c r="Z79"/>
      <c r="AA79" s="29" t="n">
        <v>0.300969982606697</v>
      </c>
      <c r="AB79" t="n">
        <v>22</v>
      </c>
      <c r="AC79" s="29"/>
      <c r="AD79"/>
      <c r="AE79" s="29" t="n">
        <v>1</v>
      </c>
      <c r="AF79" s="29"/>
      <c r="AG79" s="29"/>
      <c r="AH79"/>
      <c r="AI79" s="29"/>
      <c r="AJ79"/>
      <c r="AK79" t="n">
        <v>5</v>
      </c>
      <c r="AL79" s="12"/>
    </row>
    <row r="80" outlineLevel="1" hidden="0">
      <c r="A80" s="7" t="s">
        <v>15</v>
      </c>
      <c r="B80" t="s">
        <v>109</v>
      </c>
      <c r="C80" s="29" t="n">
        <v>0.187923199052389</v>
      </c>
      <c r="D80" t="n">
        <v>681</v>
      </c>
      <c r="E80" s="29" t="n">
        <v>0.0242288974953469</v>
      </c>
      <c r="F80" t="n">
        <v>106</v>
      </c>
      <c r="G80" s="29" t="n">
        <v>0.789689837676217</v>
      </c>
      <c r="H80" s="29" t="n">
        <v>0.0119992216214792</v>
      </c>
      <c r="I80" s="29" t="n">
        <v>0.0452218231596661</v>
      </c>
      <c r="J80" t="n">
        <v>106</v>
      </c>
      <c r="K80" s="29" t="n">
        <v>0.128860220047291</v>
      </c>
      <c r="L80" t="n">
        <v>106</v>
      </c>
      <c r="M80" t="n">
        <v>106</v>
      </c>
      <c r="N80" t="n">
        <v>106</v>
      </c>
      <c r="O80" s="29" t="n">
        <v>0.199672618786483</v>
      </c>
      <c r="P80" t="n">
        <v>321</v>
      </c>
      <c r="Q80" s="29" t="n">
        <v>0.046860245106636</v>
      </c>
      <c r="R80" t="n">
        <v>53</v>
      </c>
      <c r="S80" s="29" t="n">
        <v>0.722836279355744</v>
      </c>
      <c r="T80" s="29" t="n">
        <v>0.0232072658848528</v>
      </c>
      <c r="U80" s="29" t="n">
        <v>0.0642546468100137</v>
      </c>
      <c r="V80" t="n">
        <v>53</v>
      </c>
      <c r="W80" s="29" t="n">
        <v>0.142841562842753</v>
      </c>
      <c r="X80" t="n">
        <v>53</v>
      </c>
      <c r="Y80" t="n">
        <v>53</v>
      </c>
      <c r="Z80" t="n">
        <v>53</v>
      </c>
      <c r="AA80" s="29" t="n">
        <v>0.17717939787682</v>
      </c>
      <c r="AB80" t="n">
        <v>360</v>
      </c>
      <c r="AC80" s="29"/>
      <c r="AD80"/>
      <c r="AE80" s="29" t="n">
        <v>0.861262597706554</v>
      </c>
      <c r="AF80" s="29"/>
      <c r="AG80" s="29" t="n">
        <v>0.0248454699176145</v>
      </c>
      <c r="AH80" t="n">
        <v>53</v>
      </c>
      <c r="AI80" s="29" t="n">
        <v>0.113891932375831</v>
      </c>
      <c r="AJ80" t="n">
        <v>53</v>
      </c>
      <c r="AK80" t="n">
        <v>53</v>
      </c>
      <c r="AL80" s="12"/>
    </row>
    <row r="81" outlineLevel="1" hidden="0">
      <c r="A81" s="7" t="s">
        <v>15</v>
      </c>
      <c r="B81" t="s">
        <v>110</v>
      </c>
      <c r="C81" s="29" t="n">
        <v>0.0515155200904469</v>
      </c>
      <c r="D81" t="n">
        <v>64</v>
      </c>
      <c r="E81" s="29"/>
      <c r="F81"/>
      <c r="G81" s="29" t="n">
        <v>0.810915285555874</v>
      </c>
      <c r="H81" s="29"/>
      <c r="I81" s="29"/>
      <c r="J81"/>
      <c r="K81" s="29" t="n">
        <v>0.189084714444126</v>
      </c>
      <c r="L81" t="n">
        <v>4</v>
      </c>
      <c r="M81" t="n">
        <v>4</v>
      </c>
      <c r="N81"/>
      <c r="O81" s="29" t="n">
        <v>0.0666512530209755</v>
      </c>
      <c r="P81" t="n">
        <v>32</v>
      </c>
      <c r="Q81" s="29"/>
      <c r="R81"/>
      <c r="S81" s="29" t="n">
        <v>0.666666666666667</v>
      </c>
      <c r="T81" s="29"/>
      <c r="U81" s="29"/>
      <c r="V81"/>
      <c r="W81" s="29" t="n">
        <v>0.333333333333333</v>
      </c>
      <c r="X81" t="n">
        <v>3</v>
      </c>
      <c r="Y81" t="n">
        <v>3</v>
      </c>
      <c r="Z81"/>
      <c r="AA81" s="29" t="n">
        <v>0.0396983737842776</v>
      </c>
      <c r="AB81" t="n">
        <v>32</v>
      </c>
      <c r="AC81" s="29"/>
      <c r="AD81"/>
      <c r="AE81" s="29" t="n">
        <v>1</v>
      </c>
      <c r="AF81" s="29"/>
      <c r="AG81" s="29"/>
      <c r="AH81"/>
      <c r="AI81" s="29"/>
      <c r="AJ81"/>
      <c r="AK81" t="n">
        <v>1</v>
      </c>
      <c r="AL81" s="12"/>
    </row>
    <row r="82" outlineLevel="1" hidden="0">
      <c r="A82" s="7" t="s">
        <v>15</v>
      </c>
      <c r="B82" t="s">
        <v>112</v>
      </c>
      <c r="C82" s="29" t="n">
        <v>0.319247021787771</v>
      </c>
      <c r="D82" t="n">
        <v>8</v>
      </c>
      <c r="E82" s="29"/>
      <c r="F82"/>
      <c r="G82" s="29" t="n">
        <v>0.471372530305405</v>
      </c>
      <c r="H82" s="29"/>
      <c r="I82" s="29"/>
      <c r="J82"/>
      <c r="K82" s="29" t="n">
        <v>0.528627469694595</v>
      </c>
      <c r="L82" t="n">
        <v>3</v>
      </c>
      <c r="M82" t="n">
        <v>3</v>
      </c>
      <c r="N82"/>
      <c r="O82" s="29" t="n">
        <v>0.414230029126492</v>
      </c>
      <c r="P82" t="n">
        <v>6</v>
      </c>
      <c r="Q82" s="29"/>
      <c r="R82"/>
      <c r="S82" s="29" t="n">
        <v>0.471372530305405</v>
      </c>
      <c r="T82" s="29"/>
      <c r="U82" s="29"/>
      <c r="V82"/>
      <c r="W82" s="29" t="n">
        <v>0.528627469694595</v>
      </c>
      <c r="X82" t="n">
        <v>3</v>
      </c>
      <c r="Y82" t="n">
        <v>3</v>
      </c>
      <c r="Z82"/>
      <c r="AA82" s="29"/>
      <c r="AB82"/>
      <c r="AC82" s="29"/>
      <c r="AD82"/>
      <c r="AE82" s="29"/>
      <c r="AF82" s="29"/>
      <c r="AG82" s="29"/>
      <c r="AH82"/>
      <c r="AI82" s="29"/>
      <c r="AJ82"/>
      <c r="AK82"/>
      <c r="AL82" s="12"/>
    </row>
    <row r="83" outlineLevel="1" hidden="0">
      <c r="A83" s="7" t="s">
        <v>15</v>
      </c>
      <c r="B83" t="s">
        <v>113</v>
      </c>
      <c r="C83" s="29" t="n">
        <v>0.0987368590069275</v>
      </c>
      <c r="D83" t="n">
        <v>7</v>
      </c>
      <c r="E83" s="29"/>
      <c r="F83"/>
      <c r="G83" s="29" t="n">
        <v>1</v>
      </c>
      <c r="H83" s="29"/>
      <c r="I83" s="29"/>
      <c r="J83"/>
      <c r="K83" s="29"/>
      <c r="L83"/>
      <c r="M83" t="n">
        <v>1</v>
      </c>
      <c r="N83"/>
      <c r="O83" s="29"/>
      <c r="P83"/>
      <c r="Q83" s="29"/>
      <c r="R83"/>
      <c r="S83" s="29"/>
      <c r="T83" s="29"/>
      <c r="U83" s="29"/>
      <c r="V83"/>
      <c r="W83" s="29"/>
      <c r="X83"/>
      <c r="Y83"/>
      <c r="Z83"/>
      <c r="AA83" s="29" t="n">
        <v>0.140293183988136</v>
      </c>
      <c r="AB83" t="n">
        <v>4</v>
      </c>
      <c r="AC83" s="29"/>
      <c r="AD83"/>
      <c r="AE83" s="29" t="n">
        <v>1</v>
      </c>
      <c r="AF83" s="29"/>
      <c r="AG83" s="29"/>
      <c r="AH83"/>
      <c r="AI83" s="29"/>
      <c r="AJ83"/>
      <c r="AK83" t="n">
        <v>1</v>
      </c>
      <c r="AL83" s="12"/>
    </row>
    <row r="84" outlineLevel="1" hidden="0">
      <c r="A84" s="7" t="s">
        <v>15</v>
      </c>
      <c r="B84" t="s">
        <v>114</v>
      </c>
      <c r="C84" s="29" t="n">
        <v>0.0970697691031875</v>
      </c>
      <c r="D84" t="n">
        <v>80</v>
      </c>
      <c r="E84" s="29"/>
      <c r="F84"/>
      <c r="G84" s="29" t="n">
        <v>0.727135530467155</v>
      </c>
      <c r="H84" s="29" t="n">
        <v>0.272864469532845</v>
      </c>
      <c r="I84" s="29"/>
      <c r="J84"/>
      <c r="K84" s="29"/>
      <c r="L84"/>
      <c r="M84" t="n">
        <v>5</v>
      </c>
      <c r="N84" t="n">
        <v>5</v>
      </c>
      <c r="O84" s="29" t="n">
        <v>0.104055229353239</v>
      </c>
      <c r="P84" t="n">
        <v>43</v>
      </c>
      <c r="Q84" s="29"/>
      <c r="R84"/>
      <c r="S84" s="29" t="n">
        <v>0.521041568146154</v>
      </c>
      <c r="T84" s="29" t="n">
        <v>0.478958431853846</v>
      </c>
      <c r="U84" s="29"/>
      <c r="V84"/>
      <c r="W84" s="29"/>
      <c r="X84"/>
      <c r="Y84" t="n">
        <v>3</v>
      </c>
      <c r="Z84" t="n">
        <v>3</v>
      </c>
      <c r="AA84" s="29" t="n">
        <v>0.0878110129540779</v>
      </c>
      <c r="AB84" t="n">
        <v>37</v>
      </c>
      <c r="AC84" s="29"/>
      <c r="AD84"/>
      <c r="AE84" s="29" t="n">
        <v>1</v>
      </c>
      <c r="AF84" s="29"/>
      <c r="AG84" s="29"/>
      <c r="AH84"/>
      <c r="AI84" s="29"/>
      <c r="AJ84"/>
      <c r="AK84" t="n">
        <v>2</v>
      </c>
      <c r="AL84" s="12"/>
    </row>
    <row r="85" outlineLevel="1" hidden="0">
      <c r="A85" s="7" t="s">
        <v>15</v>
      </c>
      <c r="B85" t="s">
        <v>115</v>
      </c>
      <c r="C85" s="29" t="n">
        <v>0.535070020873876</v>
      </c>
      <c r="D85" t="n">
        <v>5</v>
      </c>
      <c r="E85" s="29"/>
      <c r="F85"/>
      <c r="G85" s="29"/>
      <c r="H85" s="29" t="n">
        <v>1</v>
      </c>
      <c r="I85" s="29"/>
      <c r="J85"/>
      <c r="K85" s="29"/>
      <c r="L85"/>
      <c r="M85"/>
      <c r="N85" t="n">
        <v>1</v>
      </c>
      <c r="O85" s="29"/>
      <c r="P85"/>
      <c r="Q85" s="29"/>
      <c r="R85"/>
      <c r="S85" s="29"/>
      <c r="T85" s="29"/>
      <c r="U85" s="29"/>
      <c r="V85"/>
      <c r="W85" s="29"/>
      <c r="X85"/>
      <c r="Y85"/>
      <c r="Z85"/>
      <c r="AA85" s="29" t="n">
        <v>0.697127835991839</v>
      </c>
      <c r="AB85" t="n">
        <v>3</v>
      </c>
      <c r="AC85" s="29"/>
      <c r="AD85"/>
      <c r="AE85" s="29"/>
      <c r="AF85" s="29" t="n">
        <v>1</v>
      </c>
      <c r="AG85" s="29"/>
      <c r="AH85"/>
      <c r="AI85" s="29"/>
      <c r="AJ85"/>
      <c r="AK85"/>
      <c r="AL85" s="12" t="n">
        <v>1</v>
      </c>
    </row>
    <row r="86" outlineLevel="1" hidden="0">
      <c r="A86" s="7" t="s">
        <v>15</v>
      </c>
      <c r="B86" t="s">
        <v>116</v>
      </c>
      <c r="C86" s="29" t="n">
        <v>0.116257445188492</v>
      </c>
      <c r="D86" t="n">
        <v>14</v>
      </c>
      <c r="E86" s="29"/>
      <c r="F86"/>
      <c r="G86" s="29"/>
      <c r="H86" s="29"/>
      <c r="I86" s="29"/>
      <c r="J86"/>
      <c r="K86" s="29"/>
      <c r="L86"/>
      <c r="M86"/>
      <c r="N86"/>
      <c r="O86" s="29"/>
      <c r="P86"/>
      <c r="Q86" s="29"/>
      <c r="R86"/>
      <c r="S86" s="29"/>
      <c r="T86" s="29"/>
      <c r="U86" s="29"/>
      <c r="V86"/>
      <c r="W86" s="29"/>
      <c r="X86"/>
      <c r="Y86"/>
      <c r="Z86"/>
      <c r="AA86" s="29" t="n">
        <v>0.2369163617325</v>
      </c>
      <c r="AB86" t="n">
        <v>8</v>
      </c>
      <c r="AC86" s="29"/>
      <c r="AD86"/>
      <c r="AE86" s="29"/>
      <c r="AF86" s="29"/>
      <c r="AG86" s="29"/>
      <c r="AH86"/>
      <c r="AI86" s="29"/>
      <c r="AJ86"/>
      <c r="AK86"/>
      <c r="AL86" s="12"/>
    </row>
    <row r="87" outlineLevel="1" hidden="0">
      <c r="A87" s="7" t="s">
        <v>15</v>
      </c>
      <c r="B87" t="s">
        <v>117</v>
      </c>
      <c r="C87" s="29" t="n">
        <v>0.333333333333333</v>
      </c>
      <c r="D87" t="n">
        <v>3</v>
      </c>
      <c r="E87" s="29"/>
      <c r="F87"/>
      <c r="G87" s="29"/>
      <c r="H87" s="29" t="n">
        <v>1</v>
      </c>
      <c r="I87" s="29"/>
      <c r="J87"/>
      <c r="K87" s="29"/>
      <c r="L87"/>
      <c r="M87"/>
      <c r="N87" t="n">
        <v>1</v>
      </c>
      <c r="O87" s="29"/>
      <c r="P87"/>
      <c r="Q87" s="29"/>
      <c r="R87"/>
      <c r="S87" s="29"/>
      <c r="T87" s="29"/>
      <c r="U87" s="29"/>
      <c r="V87"/>
      <c r="W87" s="29"/>
      <c r="X87"/>
      <c r="Y87"/>
      <c r="Z87"/>
      <c r="AA87" s="29" t="n">
        <v>0.5</v>
      </c>
      <c r="AB87" t="n">
        <v>2</v>
      </c>
      <c r="AC87" s="29"/>
      <c r="AD87"/>
      <c r="AE87" s="29"/>
      <c r="AF87" s="29" t="n">
        <v>1</v>
      </c>
      <c r="AG87" s="29"/>
      <c r="AH87"/>
      <c r="AI87" s="29"/>
      <c r="AJ87"/>
      <c r="AK87"/>
      <c r="AL87" s="12" t="n">
        <v>1</v>
      </c>
    </row>
    <row r="88" outlineLevel="1" hidden="0">
      <c r="A88" s="7" t="s">
        <v>15</v>
      </c>
      <c r="B88" t="s">
        <v>119</v>
      </c>
      <c r="C88" s="29" t="n">
        <v>0.159769364710236</v>
      </c>
      <c r="D88" t="n">
        <v>68</v>
      </c>
      <c r="E88" s="29"/>
      <c r="F88"/>
      <c r="G88" s="29" t="n">
        <v>0.639298530807075</v>
      </c>
      <c r="H88" s="29"/>
      <c r="I88" s="29"/>
      <c r="J88"/>
      <c r="K88" s="29" t="n">
        <v>0.360701469192925</v>
      </c>
      <c r="L88" t="n">
        <v>11</v>
      </c>
      <c r="M88" t="n">
        <v>11</v>
      </c>
      <c r="N88"/>
      <c r="O88" s="29" t="n">
        <v>0.0400153640529678</v>
      </c>
      <c r="P88" t="n">
        <v>36</v>
      </c>
      <c r="Q88" s="29"/>
      <c r="R88"/>
      <c r="S88" s="29" t="n">
        <v>1</v>
      </c>
      <c r="T88" s="29"/>
      <c r="U88" s="29"/>
      <c r="V88"/>
      <c r="W88" s="29"/>
      <c r="X88"/>
      <c r="Y88" t="n">
        <v>2</v>
      </c>
      <c r="Z88"/>
      <c r="AA88" s="29" t="n">
        <v>0.278386127736782</v>
      </c>
      <c r="AB88" t="n">
        <v>32</v>
      </c>
      <c r="AC88" s="29"/>
      <c r="AD88"/>
      <c r="AE88" s="29" t="n">
        <v>0.587943483829861</v>
      </c>
      <c r="AF88" s="29"/>
      <c r="AG88" s="29"/>
      <c r="AH88"/>
      <c r="AI88" s="29" t="n">
        <v>0.412056516170139</v>
      </c>
      <c r="AJ88" t="n">
        <v>9</v>
      </c>
      <c r="AK88" t="n">
        <v>9</v>
      </c>
      <c r="AL88" s="12"/>
    </row>
    <row r="89" outlineLevel="1" hidden="0">
      <c r="A89" s="7" t="s">
        <v>15</v>
      </c>
      <c r="B89" t="s">
        <v>121</v>
      </c>
      <c r="C89" s="29" t="n">
        <v>0.47575928157901</v>
      </c>
      <c r="D89" t="n">
        <v>65</v>
      </c>
      <c r="E89" s="29"/>
      <c r="F89"/>
      <c r="G89" s="29" t="n">
        <v>0.698671991847313</v>
      </c>
      <c r="H89" s="29" t="n">
        <v>0.0514244055711492</v>
      </c>
      <c r="I89" s="29" t="n">
        <v>0.126607059836807</v>
      </c>
      <c r="J89" t="n">
        <v>26</v>
      </c>
      <c r="K89" s="29" t="n">
        <v>0.12329654274473</v>
      </c>
      <c r="L89" t="n">
        <v>26</v>
      </c>
      <c r="M89" t="n">
        <v>26</v>
      </c>
      <c r="N89" t="n">
        <v>26</v>
      </c>
      <c r="O89" s="29" t="n">
        <v>0.428610875249359</v>
      </c>
      <c r="P89" t="n">
        <v>34</v>
      </c>
      <c r="Q89" s="29"/>
      <c r="R89"/>
      <c r="S89" s="29" t="n">
        <v>0.654287138931229</v>
      </c>
      <c r="T89" s="29" t="n">
        <v>0.100796352836191</v>
      </c>
      <c r="U89" s="29" t="n">
        <v>0.165440640270919</v>
      </c>
      <c r="V89" t="n">
        <v>13</v>
      </c>
      <c r="W89" s="29" t="n">
        <v>0.0794758679616612</v>
      </c>
      <c r="X89" t="n">
        <v>13</v>
      </c>
      <c r="Y89" t="n">
        <v>13</v>
      </c>
      <c r="Z89" t="n">
        <v>13</v>
      </c>
      <c r="AA89" s="29" t="n">
        <v>0.531445931658</v>
      </c>
      <c r="AB89" t="n">
        <v>31</v>
      </c>
      <c r="AC89" s="29"/>
      <c r="AD89"/>
      <c r="AE89" s="29" t="n">
        <v>0.744901982844421</v>
      </c>
      <c r="AF89" s="29"/>
      <c r="AG89" s="29" t="n">
        <v>0.0861591151911719</v>
      </c>
      <c r="AH89" t="n">
        <v>13</v>
      </c>
      <c r="AI89" s="29" t="n">
        <v>0.168938901964408</v>
      </c>
      <c r="AJ89" t="n">
        <v>13</v>
      </c>
      <c r="AK89" t="n">
        <v>13</v>
      </c>
      <c r="AL89" s="12"/>
    </row>
    <row r="90" outlineLevel="1" hidden="0">
      <c r="A90" s="7" t="s">
        <v>15</v>
      </c>
      <c r="B90" t="s">
        <v>122</v>
      </c>
      <c r="C90" s="29" t="n">
        <v>0.139958781851874</v>
      </c>
      <c r="D90" t="n">
        <v>94</v>
      </c>
      <c r="E90" s="29"/>
      <c r="F90"/>
      <c r="G90" s="29" t="n">
        <v>0.381180456705217</v>
      </c>
      <c r="H90" s="29"/>
      <c r="I90" s="29"/>
      <c r="J90"/>
      <c r="K90" s="29" t="n">
        <v>0.618819543294784</v>
      </c>
      <c r="L90" t="n">
        <v>6</v>
      </c>
      <c r="M90" t="n">
        <v>6</v>
      </c>
      <c r="N90"/>
      <c r="O90" s="29" t="n">
        <v>0.12549225503727</v>
      </c>
      <c r="P90" t="n">
        <v>44</v>
      </c>
      <c r="Q90" s="29"/>
      <c r="R90"/>
      <c r="S90" s="29" t="n">
        <v>1</v>
      </c>
      <c r="T90" s="29"/>
      <c r="U90" s="29"/>
      <c r="V90"/>
      <c r="W90" s="29"/>
      <c r="X90"/>
      <c r="Y90" t="n">
        <v>2</v>
      </c>
      <c r="Z90"/>
      <c r="AA90" s="29" t="n">
        <v>0.154384022560478</v>
      </c>
      <c r="AB90" t="n">
        <v>50</v>
      </c>
      <c r="AC90" s="29"/>
      <c r="AD90"/>
      <c r="AE90" s="29" t="n">
        <v>0.0693514396866829</v>
      </c>
      <c r="AF90" s="29"/>
      <c r="AG90" s="29"/>
      <c r="AH90"/>
      <c r="AI90" s="29" t="n">
        <v>0.930648560313317</v>
      </c>
      <c r="AJ90" t="n">
        <v>4</v>
      </c>
      <c r="AK90" t="n">
        <v>4</v>
      </c>
      <c r="AL90" s="12"/>
    </row>
    <row r="91" outlineLevel="1" hidden="0">
      <c r="A91" s="7" t="s">
        <v>15</v>
      </c>
      <c r="B91" t="s">
        <v>128</v>
      </c>
      <c r="C91" s="29" t="n">
        <v>0.0239016789904449</v>
      </c>
      <c r="D91" t="n">
        <v>24</v>
      </c>
      <c r="E91" s="29"/>
      <c r="F91"/>
      <c r="G91" s="29"/>
      <c r="H91" s="29"/>
      <c r="I91" s="29" t="n">
        <v>1</v>
      </c>
      <c r="J91" t="n">
        <v>1</v>
      </c>
      <c r="K91" s="29"/>
      <c r="L91"/>
      <c r="M91"/>
      <c r="N91"/>
      <c r="O91" s="29" t="n">
        <v>0.0946987701912341</v>
      </c>
      <c r="P91" t="n">
        <v>7</v>
      </c>
      <c r="Q91" s="29"/>
      <c r="R91"/>
      <c r="S91" s="29"/>
      <c r="T91" s="29"/>
      <c r="U91" s="29" t="n">
        <v>1</v>
      </c>
      <c r="V91" t="n">
        <v>1</v>
      </c>
      <c r="W91" s="29"/>
      <c r="X91"/>
      <c r="Y91"/>
      <c r="Z91"/>
      <c r="AA91" s="29"/>
      <c r="AB91"/>
      <c r="AC91" s="29"/>
      <c r="AD91"/>
      <c r="AE91" s="29"/>
      <c r="AF91" s="29"/>
      <c r="AG91" s="29"/>
      <c r="AH91"/>
      <c r="AI91" s="29"/>
      <c r="AJ91"/>
      <c r="AK91"/>
      <c r="AL91" s="12"/>
    </row>
    <row r="92" outlineLevel="1" hidden="0">
      <c r="A92" s="7" t="s">
        <v>15</v>
      </c>
      <c r="B92" t="s">
        <v>129</v>
      </c>
      <c r="C92" s="29" t="n">
        <v>0.421951176068833</v>
      </c>
      <c r="D92" t="n">
        <v>5</v>
      </c>
      <c r="E92" s="29"/>
      <c r="F92"/>
      <c r="G92" s="29" t="n">
        <v>0.666666666666667</v>
      </c>
      <c r="H92" s="29"/>
      <c r="I92" s="29"/>
      <c r="J92"/>
      <c r="K92" s="29" t="n">
        <v>0.333333333333333</v>
      </c>
      <c r="L92" t="n">
        <v>3</v>
      </c>
      <c r="M92" t="n">
        <v>3</v>
      </c>
      <c r="N92"/>
      <c r="O92" s="29"/>
      <c r="P92"/>
      <c r="Q92" s="29"/>
      <c r="R92"/>
      <c r="S92" s="29"/>
      <c r="T92" s="29"/>
      <c r="U92" s="29"/>
      <c r="V92"/>
      <c r="W92" s="29"/>
      <c r="X92"/>
      <c r="Y92"/>
      <c r="Z92"/>
      <c r="AA92" s="29" t="n">
        <v>0.421951176068833</v>
      </c>
      <c r="AB92" t="n">
        <v>5</v>
      </c>
      <c r="AC92" s="29"/>
      <c r="AD92"/>
      <c r="AE92" s="29" t="n">
        <v>0.666666666666667</v>
      </c>
      <c r="AF92" s="29"/>
      <c r="AG92" s="29"/>
      <c r="AH92"/>
      <c r="AI92" s="29" t="n">
        <v>0.333333333333333</v>
      </c>
      <c r="AJ92" t="n">
        <v>3</v>
      </c>
      <c r="AK92" t="n">
        <v>3</v>
      </c>
      <c r="AL92" s="12"/>
    </row>
    <row r="93" outlineLevel="1" hidden="0">
      <c r="A93" s="7" t="s">
        <v>15</v>
      </c>
      <c r="B93" t="s">
        <v>130</v>
      </c>
      <c r="C93" s="29" t="n">
        <v>0.0822786522149757</v>
      </c>
      <c r="D93" t="n">
        <v>190</v>
      </c>
      <c r="E93" s="29" t="n">
        <v>0.0167855673225569</v>
      </c>
      <c r="F93" t="n">
        <v>11</v>
      </c>
      <c r="G93" s="29" t="n">
        <v>0.432420914010812</v>
      </c>
      <c r="H93" s="29" t="n">
        <v>0.0167855673225569</v>
      </c>
      <c r="I93" s="29"/>
      <c r="J93"/>
      <c r="K93" s="29" t="n">
        <v>0.534007951344074</v>
      </c>
      <c r="L93" t="n">
        <v>11</v>
      </c>
      <c r="M93" t="n">
        <v>11</v>
      </c>
      <c r="N93" t="n">
        <v>11</v>
      </c>
      <c r="O93" s="29" t="n">
        <v>0.119288675916892</v>
      </c>
      <c r="P93" t="n">
        <v>115</v>
      </c>
      <c r="Q93" s="29" t="n">
        <v>0.0212899660173525</v>
      </c>
      <c r="R93" t="n">
        <v>8</v>
      </c>
      <c r="S93" s="29" t="n">
        <v>0.527170886545617</v>
      </c>
      <c r="T93" s="29"/>
      <c r="U93" s="29"/>
      <c r="V93"/>
      <c r="W93" s="29" t="n">
        <v>0.451539147437031</v>
      </c>
      <c r="X93" t="n">
        <v>8</v>
      </c>
      <c r="Y93" t="n">
        <v>8</v>
      </c>
      <c r="Z93"/>
      <c r="AA93" s="29" t="n">
        <v>0.0296594377887072</v>
      </c>
      <c r="AB93" t="n">
        <v>75</v>
      </c>
      <c r="AC93" s="29"/>
      <c r="AD93"/>
      <c r="AE93" s="29" t="n">
        <v>0.0793367066490191</v>
      </c>
      <c r="AF93" s="29" t="n">
        <v>0.0793367066490191</v>
      </c>
      <c r="AG93" s="29"/>
      <c r="AH93"/>
      <c r="AI93" s="29" t="n">
        <v>0.841326586701962</v>
      </c>
      <c r="AJ93" t="n">
        <v>3</v>
      </c>
      <c r="AK93" t="n">
        <v>3</v>
      </c>
      <c r="AL93" s="12" t="n">
        <v>3</v>
      </c>
    </row>
    <row r="94" outlineLevel="1" hidden="0">
      <c r="A94" s="7" t="s">
        <v>15</v>
      </c>
      <c r="B94" t="s">
        <v>135</v>
      </c>
      <c r="C94" s="29" t="n">
        <v>0.059778623261425</v>
      </c>
      <c r="D94" t="n">
        <v>45</v>
      </c>
      <c r="E94" s="29"/>
      <c r="F94"/>
      <c r="G94" s="29" t="n">
        <v>0.354836937022339</v>
      </c>
      <c r="H94" s="29"/>
      <c r="I94" s="29"/>
      <c r="J94"/>
      <c r="K94" s="29" t="n">
        <v>0.645163062977661</v>
      </c>
      <c r="L94" t="n">
        <v>2</v>
      </c>
      <c r="M94" t="n">
        <v>2</v>
      </c>
      <c r="N94"/>
      <c r="O94" s="29" t="n">
        <v>0.0981863906630221</v>
      </c>
      <c r="P94" t="n">
        <v>24</v>
      </c>
      <c r="Q94" s="29"/>
      <c r="R94"/>
      <c r="S94" s="29" t="n">
        <v>1</v>
      </c>
      <c r="T94" s="29"/>
      <c r="U94" s="29"/>
      <c r="V94"/>
      <c r="W94" s="29"/>
      <c r="X94"/>
      <c r="Y94" t="n">
        <v>1</v>
      </c>
      <c r="Z94"/>
      <c r="AA94" s="29" t="n">
        <v>0.0242697488188634</v>
      </c>
      <c r="AB94" t="n">
        <v>21</v>
      </c>
      <c r="AC94" s="29"/>
      <c r="AD94"/>
      <c r="AE94" s="29"/>
      <c r="AF94" s="29"/>
      <c r="AG94" s="29"/>
      <c r="AH94"/>
      <c r="AI94" s="29" t="n">
        <v>1</v>
      </c>
      <c r="AJ94" t="n">
        <v>1</v>
      </c>
      <c r="AK94"/>
      <c r="AL94" s="12"/>
    </row>
    <row r="95" outlineLevel="1" hidden="0">
      <c r="A95" s="7" t="s">
        <v>15</v>
      </c>
      <c r="B95" t="s">
        <v>136</v>
      </c>
      <c r="C95" s="29" t="n">
        <v>0.709366412137197</v>
      </c>
      <c r="D95" t="n">
        <v>3</v>
      </c>
      <c r="E95" s="29"/>
      <c r="F95"/>
      <c r="G95" s="29"/>
      <c r="H95" s="29"/>
      <c r="I95" s="29"/>
      <c r="J95"/>
      <c r="K95" s="29"/>
      <c r="L95"/>
      <c r="M95"/>
      <c r="N95"/>
      <c r="O95" s="29"/>
      <c r="P95"/>
      <c r="Q95" s="29"/>
      <c r="R95"/>
      <c r="S95" s="29"/>
      <c r="T95" s="29"/>
      <c r="U95" s="29"/>
      <c r="V95"/>
      <c r="W95" s="29"/>
      <c r="X95"/>
      <c r="Y95"/>
      <c r="Z95"/>
      <c r="AA95" s="29" t="n">
        <v>1</v>
      </c>
      <c r="AB95" t="n">
        <v>1</v>
      </c>
      <c r="AC95" s="29"/>
      <c r="AD95"/>
      <c r="AE95" s="29"/>
      <c r="AF95" s="29"/>
      <c r="AG95" s="29"/>
      <c r="AH95"/>
      <c r="AI95" s="29"/>
      <c r="AJ95"/>
      <c r="AK95"/>
      <c r="AL95" s="12"/>
    </row>
    <row r="96" outlineLevel="1" hidden="0">
      <c r="A96" s="7" t="s">
        <v>15</v>
      </c>
      <c r="B96" t="s">
        <v>137</v>
      </c>
      <c r="C96" s="29" t="n">
        <v>0.25</v>
      </c>
      <c r="D96" t="n">
        <v>4</v>
      </c>
      <c r="E96" s="29"/>
      <c r="F96"/>
      <c r="G96" s="29" t="n">
        <v>1</v>
      </c>
      <c r="H96" s="29"/>
      <c r="I96" s="29"/>
      <c r="J96"/>
      <c r="K96" s="29"/>
      <c r="L96"/>
      <c r="M96" t="n">
        <v>1</v>
      </c>
      <c r="N96"/>
      <c r="O96" s="29" t="n">
        <v>0.5</v>
      </c>
      <c r="P96" t="n">
        <v>2</v>
      </c>
      <c r="Q96" s="29"/>
      <c r="R96"/>
      <c r="S96" s="29" t="n">
        <v>1</v>
      </c>
      <c r="T96" s="29"/>
      <c r="U96" s="29"/>
      <c r="V96"/>
      <c r="W96" s="29"/>
      <c r="X96"/>
      <c r="Y96" t="n">
        <v>1</v>
      </c>
      <c r="Z96"/>
      <c r="AA96" s="29"/>
      <c r="AB96"/>
      <c r="AC96" s="29"/>
      <c r="AD96"/>
      <c r="AE96" s="29"/>
      <c r="AF96" s="29"/>
      <c r="AG96" s="29"/>
      <c r="AH96"/>
      <c r="AI96" s="29"/>
      <c r="AJ96"/>
      <c r="AK96"/>
      <c r="AL96" s="12"/>
    </row>
    <row r="97" outlineLevel="1" hidden="0">
      <c r="A97" s="7" t="s">
        <v>15</v>
      </c>
      <c r="B97" t="s">
        <v>145</v>
      </c>
      <c r="C97" s="29" t="n">
        <v>0.153509086835875</v>
      </c>
      <c r="D97" t="n">
        <v>178</v>
      </c>
      <c r="E97" s="29"/>
      <c r="F97"/>
      <c r="G97" s="29" t="n">
        <v>0.89236908434078</v>
      </c>
      <c r="H97" s="29" t="n">
        <v>0.0144674158266403</v>
      </c>
      <c r="I97" s="29"/>
      <c r="J97"/>
      <c r="K97" s="29" t="n">
        <v>0.0931634998325797</v>
      </c>
      <c r="L97" t="n">
        <v>35</v>
      </c>
      <c r="M97" t="n">
        <v>35</v>
      </c>
      <c r="N97" t="n">
        <v>35</v>
      </c>
      <c r="O97" s="29" t="n">
        <v>0.120294513788078</v>
      </c>
      <c r="P97" t="n">
        <v>91</v>
      </c>
      <c r="Q97" s="29"/>
      <c r="R97"/>
      <c r="S97" s="29" t="n">
        <v>0.860943163851734</v>
      </c>
      <c r="T97" s="29"/>
      <c r="U97" s="29"/>
      <c r="V97"/>
      <c r="W97" s="29" t="n">
        <v>0.139056836148266</v>
      </c>
      <c r="X97" t="n">
        <v>15</v>
      </c>
      <c r="Y97" t="n">
        <v>15</v>
      </c>
      <c r="Z97"/>
      <c r="AA97" s="29" t="n">
        <v>0.187743806290646</v>
      </c>
      <c r="AB97" t="n">
        <v>87</v>
      </c>
      <c r="AC97" s="29"/>
      <c r="AD97"/>
      <c r="AE97" s="29" t="n">
        <v>0.914370884753268</v>
      </c>
      <c r="AF97" s="29" t="n">
        <v>0.0245962900345784</v>
      </c>
      <c r="AG97" s="29"/>
      <c r="AH97"/>
      <c r="AI97" s="29" t="n">
        <v>0.0610328252121534</v>
      </c>
      <c r="AJ97" t="n">
        <v>20</v>
      </c>
      <c r="AK97" t="n">
        <v>20</v>
      </c>
      <c r="AL97" s="12" t="n">
        <v>20</v>
      </c>
    </row>
    <row r="98" outlineLevel="1" hidden="0">
      <c r="A98" s="7" t="s">
        <v>15</v>
      </c>
      <c r="B98" t="s">
        <v>146</v>
      </c>
      <c r="C98" s="29" t="n">
        <v>0.112167190742888</v>
      </c>
      <c r="D98" t="n">
        <v>8</v>
      </c>
      <c r="E98" s="29"/>
      <c r="F98"/>
      <c r="G98" s="29" t="n">
        <v>1</v>
      </c>
      <c r="H98" s="29"/>
      <c r="I98" s="29"/>
      <c r="J98"/>
      <c r="K98" s="29"/>
      <c r="L98"/>
      <c r="M98" t="n">
        <v>1</v>
      </c>
      <c r="N98"/>
      <c r="O98" s="29"/>
      <c r="P98"/>
      <c r="Q98" s="29"/>
      <c r="R98"/>
      <c r="S98" s="29"/>
      <c r="T98" s="29"/>
      <c r="U98" s="29"/>
      <c r="V98"/>
      <c r="W98" s="29"/>
      <c r="X98"/>
      <c r="Y98"/>
      <c r="Z98"/>
      <c r="AA98" s="29" t="n">
        <v>0.174003049012176</v>
      </c>
      <c r="AB98" t="n">
        <v>5</v>
      </c>
      <c r="AC98" s="29"/>
      <c r="AD98"/>
      <c r="AE98" s="29" t="n">
        <v>1</v>
      </c>
      <c r="AF98" s="29"/>
      <c r="AG98" s="29"/>
      <c r="AH98"/>
      <c r="AI98" s="29"/>
      <c r="AJ98"/>
      <c r="AK98" t="n">
        <v>1</v>
      </c>
      <c r="AL98" s="12"/>
    </row>
    <row r="99" outlineLevel="1" hidden="0">
      <c r="A99" s="7" t="s">
        <v>15</v>
      </c>
      <c r="B99" t="s">
        <v>148</v>
      </c>
      <c r="C99" s="29" t="n">
        <v>0.709051951100658</v>
      </c>
      <c r="D99" t="n">
        <v>3</v>
      </c>
      <c r="E99" s="29"/>
      <c r="F99"/>
      <c r="G99" s="29" t="n">
        <v>1</v>
      </c>
      <c r="H99" s="29"/>
      <c r="I99" s="29"/>
      <c r="J99"/>
      <c r="K99" s="29"/>
      <c r="L99"/>
      <c r="M99" t="n">
        <v>2</v>
      </c>
      <c r="N99"/>
      <c r="O99" s="29" t="n">
        <v>0.549249020287992</v>
      </c>
      <c r="P99" t="n">
        <v>2</v>
      </c>
      <c r="Q99" s="29"/>
      <c r="R99"/>
      <c r="S99" s="29" t="n">
        <v>1</v>
      </c>
      <c r="T99" s="29"/>
      <c r="U99" s="29"/>
      <c r="V99"/>
      <c r="W99" s="29"/>
      <c r="X99"/>
      <c r="Y99" t="n">
        <v>1</v>
      </c>
      <c r="Z99"/>
      <c r="AA99" s="29" t="n">
        <v>1</v>
      </c>
      <c r="AB99" t="n">
        <v>1</v>
      </c>
      <c r="AC99" s="29"/>
      <c r="AD99"/>
      <c r="AE99" s="29" t="n">
        <v>1</v>
      </c>
      <c r="AF99" s="29"/>
      <c r="AG99" s="29"/>
      <c r="AH99"/>
      <c r="AI99" s="29"/>
      <c r="AJ99"/>
      <c r="AK99" t="n">
        <v>1</v>
      </c>
      <c r="AL99" s="12"/>
    </row>
    <row r="100" outlineLevel="1" hidden="0">
      <c r="A100" s="7" t="s">
        <v>15</v>
      </c>
      <c r="B100" t="s">
        <v>149</v>
      </c>
      <c r="C100" s="29" t="n">
        <v>0.153403147862016</v>
      </c>
      <c r="D100" t="n">
        <v>14</v>
      </c>
      <c r="E100" s="29" t="n">
        <v>0.225775880295936</v>
      </c>
      <c r="F100" t="n">
        <v>5</v>
      </c>
      <c r="G100" s="29" t="n">
        <v>0.774224119704064</v>
      </c>
      <c r="H100" s="29"/>
      <c r="I100" s="29"/>
      <c r="J100"/>
      <c r="K100" s="29"/>
      <c r="L100"/>
      <c r="M100" t="n">
        <v>5</v>
      </c>
      <c r="N100"/>
      <c r="O100" s="29" t="n">
        <v>0.262829015326754</v>
      </c>
      <c r="P100" t="n">
        <v>8</v>
      </c>
      <c r="Q100" s="29" t="n">
        <v>0.291615663410533</v>
      </c>
      <c r="R100" t="n">
        <v>4</v>
      </c>
      <c r="S100" s="29" t="n">
        <v>0.708384336589467</v>
      </c>
      <c r="T100" s="29"/>
      <c r="U100" s="29"/>
      <c r="V100"/>
      <c r="W100" s="29"/>
      <c r="X100"/>
      <c r="Y100" t="n">
        <v>4</v>
      </c>
      <c r="Z100"/>
      <c r="AA100" s="29" t="n">
        <v>0.0631887711954666</v>
      </c>
      <c r="AB100" t="n">
        <v>6</v>
      </c>
      <c r="AC100" s="29"/>
      <c r="AD100"/>
      <c r="AE100" s="29" t="n">
        <v>1</v>
      </c>
      <c r="AF100" s="29"/>
      <c r="AG100" s="29"/>
      <c r="AH100"/>
      <c r="AI100" s="29"/>
      <c r="AJ100"/>
      <c r="AK100" t="n">
        <v>1</v>
      </c>
      <c r="AL100" s="12"/>
    </row>
    <row r="101" outlineLevel="1" hidden="0">
      <c r="A101" s="7" t="s">
        <v>15</v>
      </c>
      <c r="B101" t="s">
        <v>150</v>
      </c>
      <c r="C101" s="29" t="n">
        <v>0.4452633127389</v>
      </c>
      <c r="D101" t="n">
        <v>17</v>
      </c>
      <c r="E101" s="29"/>
      <c r="F101"/>
      <c r="G101" s="29" t="n">
        <v>1</v>
      </c>
      <c r="H101" s="29"/>
      <c r="I101" s="29"/>
      <c r="J101"/>
      <c r="K101" s="29"/>
      <c r="L101"/>
      <c r="M101" t="n">
        <v>4</v>
      </c>
      <c r="N101"/>
      <c r="O101" s="29" t="n">
        <v>0.740197722097938</v>
      </c>
      <c r="P101" t="n">
        <v>5</v>
      </c>
      <c r="Q101" s="29"/>
      <c r="R101"/>
      <c r="S101" s="29" t="n">
        <v>1</v>
      </c>
      <c r="T101" s="29"/>
      <c r="U101" s="29"/>
      <c r="V101"/>
      <c r="W101" s="29"/>
      <c r="X101"/>
      <c r="Y101" t="n">
        <v>2</v>
      </c>
      <c r="Z101"/>
      <c r="AA101" s="29" t="n">
        <v>0.288437439494919</v>
      </c>
      <c r="AB101" t="n">
        <v>12</v>
      </c>
      <c r="AC101" s="29"/>
      <c r="AD101"/>
      <c r="AE101" s="29" t="n">
        <v>1</v>
      </c>
      <c r="AF101" s="29"/>
      <c r="AG101" s="29"/>
      <c r="AH101"/>
      <c r="AI101" s="29"/>
      <c r="AJ101"/>
      <c r="AK101" t="n">
        <v>2</v>
      </c>
      <c r="AL101" s="12"/>
    </row>
    <row r="102" outlineLevel="1" hidden="0">
      <c r="A102" s="8" t="s">
        <v>15</v>
      </c>
      <c r="B102" s="10" t="s">
        <v>151</v>
      </c>
      <c r="C102" s="28" t="n">
        <v>0.0904218877805409</v>
      </c>
      <c r="D102" s="10" t="n">
        <v>13</v>
      </c>
      <c r="E102" s="28"/>
      <c r="F102" s="10"/>
      <c r="G102" s="28"/>
      <c r="H102" s="28" t="n">
        <v>1</v>
      </c>
      <c r="I102" s="28"/>
      <c r="J102" s="10"/>
      <c r="K102" s="28"/>
      <c r="L102" s="10"/>
      <c r="M102" s="10"/>
      <c r="N102" s="10" t="n">
        <v>1</v>
      </c>
      <c r="O102" s="28" t="n">
        <v>0.142666570227091</v>
      </c>
      <c r="P102" s="10" t="n">
        <v>8</v>
      </c>
      <c r="Q102" s="28"/>
      <c r="R102" s="10"/>
      <c r="S102" s="28"/>
      <c r="T102" s="28" t="n">
        <v>1</v>
      </c>
      <c r="U102" s="28"/>
      <c r="V102" s="10"/>
      <c r="W102" s="28"/>
      <c r="X102" s="10"/>
      <c r="Y102" s="10"/>
      <c r="Z102" s="10" t="n">
        <v>1</v>
      </c>
      <c r="AA102" s="28"/>
      <c r="AB102" s="10"/>
      <c r="AC102" s="28"/>
      <c r="AD102" s="10"/>
      <c r="AE102" s="28"/>
      <c r="AF102" s="28"/>
      <c r="AG102" s="28"/>
      <c r="AH102" s="10"/>
      <c r="AI102" s="28"/>
      <c r="AJ102" s="10"/>
      <c r="AK102" s="10"/>
      <c r="AL102" s="13"/>
    </row>
    <row r="103">
      <c r="C103" s="29"/>
      <c r="E103" s="29"/>
      <c r="G103" s="29"/>
      <c r="H103" s="29"/>
      <c r="I103" s="29"/>
      <c r="K103" s="29"/>
      <c r="O103" s="29"/>
      <c r="Q103" s="29"/>
      <c r="S103" s="29"/>
      <c r="T103" s="29"/>
      <c r="U103" s="29"/>
      <c r="W103" s="29"/>
      <c r="AA103" s="29"/>
      <c r="AC103" s="29"/>
      <c r="AE103" s="29"/>
      <c r="AF103" s="29"/>
      <c r="AG103" s="29"/>
      <c r="AI103" s="29"/>
    </row>
    <row r="104">
      <c r="C104" s="29"/>
      <c r="E104" s="29"/>
      <c r="G104" s="29"/>
      <c r="H104" s="29"/>
      <c r="I104" s="29"/>
      <c r="K104" s="29"/>
      <c r="O104" s="29"/>
      <c r="Q104" s="29"/>
      <c r="S104" s="29"/>
      <c r="T104" s="29"/>
      <c r="U104" s="29"/>
      <c r="W104" s="29"/>
      <c r="AA104" s="29"/>
      <c r="AC104" s="29"/>
      <c r="AE104" s="29"/>
      <c r="AF104" s="29"/>
      <c r="AG104" s="29"/>
      <c r="AI104" s="29"/>
    </row>
  </sheetData>
  <mergeCells count="25">
    <mergeCell ref="A1:AL1"/>
    <mergeCell ref="C2:N2"/>
    <mergeCell ref="O2:Z2"/>
    <mergeCell ref="AA2:AL2"/>
    <mergeCell ref="E3:L3"/>
    <mergeCell ref="Q3:X3"/>
    <mergeCell ref="AC3:AJ3"/>
    <mergeCell ref="E4:F4"/>
    <mergeCell ref="I4:J4"/>
    <mergeCell ref="K4:L4"/>
    <mergeCell ref="C4:D4"/>
    <mergeCell ref="Q4:R4"/>
    <mergeCell ref="U4:V4"/>
    <mergeCell ref="W4:X4"/>
    <mergeCell ref="O4:P4"/>
    <mergeCell ref="AC4:AD4"/>
    <mergeCell ref="AG4:AH4"/>
    <mergeCell ref="AI4:AJ4"/>
    <mergeCell ref="AA4:AB4"/>
    <mergeCell ref="A6:AL6"/>
    <mergeCell ref="A9:AL9"/>
    <mergeCell ref="A15:AL15"/>
    <mergeCell ref="A19:AL19"/>
    <mergeCell ref="A31:AL31"/>
    <mergeCell ref="A53:AL53"/>
  </mergeCell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 outlineLevelRow="1"/>
  <sheetData>
    <row r="1">
      <c r="A1" s="1" t="s">
        <v>166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>
      <c r="C2" s="2" t="s">
        <v>2</v>
      </c>
      <c r="D2" s="2"/>
      <c r="E2" s="2"/>
      <c r="F2" s="2"/>
      <c r="G2" s="2"/>
      <c r="H2" s="2"/>
      <c r="I2" s="2" t="s">
        <v>3</v>
      </c>
      <c r="J2" s="2"/>
      <c r="K2" s="2"/>
      <c r="L2" s="2"/>
      <c r="M2" s="2"/>
      <c r="N2" s="2"/>
      <c r="O2" s="2" t="s">
        <v>4</v>
      </c>
      <c r="P2" s="2"/>
      <c r="Q2" s="2"/>
      <c r="R2" s="2"/>
      <c r="S2" s="2"/>
      <c r="T2" s="2"/>
    </row>
    <row r="3">
      <c r="E3" s="2" t="s">
        <v>167</v>
      </c>
      <c r="F3" s="2"/>
      <c r="G3" s="2"/>
      <c r="H3" s="2"/>
      <c r="K3" s="2" t="s">
        <v>167</v>
      </c>
      <c r="L3" s="2"/>
      <c r="M3" s="2"/>
      <c r="N3" s="2"/>
      <c r="Q3" s="2" t="s">
        <v>167</v>
      </c>
      <c r="R3" s="2"/>
      <c r="S3" s="2"/>
      <c r="T3" s="2"/>
    </row>
    <row r="4">
      <c r="C4" s="2" t="s">
        <v>10</v>
      </c>
      <c r="D4" s="2"/>
      <c r="E4" s="2" t="s">
        <v>168</v>
      </c>
      <c r="F4" s="2"/>
      <c r="G4" s="2" t="s">
        <v>169</v>
      </c>
      <c r="H4" s="2"/>
      <c r="I4" s="2" t="s">
        <v>10</v>
      </c>
      <c r="J4" s="2"/>
      <c r="K4" s="2" t="s">
        <v>168</v>
      </c>
      <c r="L4" s="2"/>
      <c r="M4" s="2" t="s">
        <v>169</v>
      </c>
      <c r="N4" s="2"/>
      <c r="O4" s="2" t="s">
        <v>10</v>
      </c>
      <c r="P4" s="2"/>
      <c r="Q4" s="2" t="s">
        <v>168</v>
      </c>
      <c r="R4" s="2"/>
      <c r="S4" s="2" t="s">
        <v>169</v>
      </c>
      <c r="T4" s="2"/>
    </row>
    <row r="5">
      <c r="A5" s="2" t="s">
        <v>11</v>
      </c>
      <c r="B5" s="2" t="s">
        <v>12</v>
      </c>
      <c r="C5" s="2" t="s">
        <v>13</v>
      </c>
      <c r="D5" s="2" t="s">
        <v>14</v>
      </c>
      <c r="E5" s="2" t="s">
        <v>13</v>
      </c>
      <c r="F5" s="2" t="s">
        <v>14</v>
      </c>
      <c r="G5" s="2" t="s">
        <v>13</v>
      </c>
      <c r="H5" s="2" t="s">
        <v>14</v>
      </c>
      <c r="I5" s="2" t="s">
        <v>13</v>
      </c>
      <c r="J5" s="2" t="s">
        <v>14</v>
      </c>
      <c r="K5" s="2" t="s">
        <v>13</v>
      </c>
      <c r="L5" s="2" t="s">
        <v>14</v>
      </c>
      <c r="M5" s="2" t="s">
        <v>13</v>
      </c>
      <c r="N5" s="2" t="s">
        <v>14</v>
      </c>
      <c r="O5" s="2" t="s">
        <v>13</v>
      </c>
      <c r="P5" s="2" t="s">
        <v>14</v>
      </c>
      <c r="Q5" s="2" t="s">
        <v>13</v>
      </c>
      <c r="R5" s="2" t="s">
        <v>14</v>
      </c>
      <c r="S5" s="2" t="s">
        <v>13</v>
      </c>
      <c r="T5" s="2" t="s">
        <v>14</v>
      </c>
    </row>
    <row r="6">
      <c r="A6" s="2" t="s">
        <v>16</v>
      </c>
      <c r="B6" s="2"/>
      <c r="C6" s="30"/>
      <c r="D6" s="2"/>
      <c r="E6" s="30"/>
      <c r="F6" s="2"/>
      <c r="G6" s="30"/>
      <c r="H6" s="2"/>
      <c r="I6" s="30"/>
      <c r="J6" s="2"/>
      <c r="K6" s="30"/>
      <c r="L6" s="2"/>
      <c r="M6" s="30"/>
      <c r="N6" s="2"/>
      <c r="O6" s="30"/>
      <c r="P6" s="2"/>
      <c r="Q6" s="30"/>
      <c r="R6" s="2"/>
      <c r="S6" s="30"/>
      <c r="T6" s="2"/>
    </row>
    <row r="7" outlineLevel="1" hidden="0">
      <c r="A7" s="3" t="s">
        <v>15</v>
      </c>
      <c r="B7" s="4" t="s">
        <v>17</v>
      </c>
      <c r="C7" s="31" t="n">
        <v>0.810056420362269</v>
      </c>
      <c r="D7" s="4" t="n">
        <v>722</v>
      </c>
      <c r="E7" s="31" t="n">
        <v>0.831732323302176</v>
      </c>
      <c r="F7" s="4" t="n">
        <v>192</v>
      </c>
      <c r="G7" s="31" t="n">
        <v>0.587889215720007</v>
      </c>
      <c r="H7" s="4" t="n">
        <v>192</v>
      </c>
      <c r="I7" s="31" t="n">
        <v>0.810876541616098</v>
      </c>
      <c r="J7" s="4" t="n">
        <v>353</v>
      </c>
      <c r="K7" s="31" t="n">
        <v>0.804565963246284</v>
      </c>
      <c r="L7" s="4" t="n">
        <v>99</v>
      </c>
      <c r="M7" s="31" t="n">
        <v>0.592383979197444</v>
      </c>
      <c r="N7" s="4" t="n">
        <v>99</v>
      </c>
      <c r="O7" s="31" t="n">
        <v>0.809266706237109</v>
      </c>
      <c r="P7" s="4" t="n">
        <v>369</v>
      </c>
      <c r="Q7" s="31" t="n">
        <v>0.865954884986687</v>
      </c>
      <c r="R7" s="4" t="n">
        <v>93</v>
      </c>
      <c r="S7" s="31" t="n">
        <v>0.582226980512663</v>
      </c>
      <c r="T7" s="5" t="n">
        <v>93</v>
      </c>
    </row>
    <row r="8">
      <c r="C8" s="34"/>
      <c r="E8" s="34"/>
      <c r="G8" s="34"/>
      <c r="I8" s="34"/>
      <c r="K8" s="34"/>
      <c r="M8" s="34"/>
      <c r="O8" s="34"/>
      <c r="Q8" s="34"/>
      <c r="S8" s="34"/>
    </row>
    <row r="9">
      <c r="A9" s="2" t="s">
        <v>21</v>
      </c>
      <c r="B9" s="2"/>
      <c r="C9" s="30"/>
      <c r="D9" s="2"/>
      <c r="E9" s="30"/>
      <c r="F9" s="2"/>
      <c r="G9" s="30"/>
      <c r="H9" s="2"/>
      <c r="I9" s="30"/>
      <c r="J9" s="2"/>
      <c r="K9" s="30"/>
      <c r="L9" s="2"/>
      <c r="M9" s="30"/>
      <c r="N9" s="2"/>
      <c r="O9" s="30"/>
      <c r="P9" s="2"/>
      <c r="Q9" s="30"/>
      <c r="R9" s="2"/>
      <c r="S9" s="30"/>
      <c r="T9" s="2"/>
    </row>
    <row r="10" outlineLevel="1" hidden="0">
      <c r="A10" s="6" t="s">
        <v>15</v>
      </c>
      <c r="B10" s="9" t="s">
        <v>23</v>
      </c>
      <c r="C10" s="32" t="n">
        <v>0.78254226998015</v>
      </c>
      <c r="D10" s="9" t="n">
        <v>374</v>
      </c>
      <c r="E10" s="32" t="n">
        <v>0.848299895073381</v>
      </c>
      <c r="F10" s="9" t="n">
        <v>96</v>
      </c>
      <c r="G10" s="32" t="n">
        <v>0.550681277555845</v>
      </c>
      <c r="H10" s="9" t="n">
        <v>96</v>
      </c>
      <c r="I10" s="32" t="n">
        <v>0.78818847481565</v>
      </c>
      <c r="J10" s="9" t="n">
        <v>172</v>
      </c>
      <c r="K10" s="32" t="n">
        <v>0.866651671539148</v>
      </c>
      <c r="L10" s="9" t="n">
        <v>46</v>
      </c>
      <c r="M10" s="32" t="n">
        <v>0.592302423884765</v>
      </c>
      <c r="N10" s="9" t="n">
        <v>46</v>
      </c>
      <c r="O10" s="32" t="n">
        <v>0.777571155717538</v>
      </c>
      <c r="P10" s="9" t="n">
        <v>202</v>
      </c>
      <c r="Q10" s="32" t="n">
        <v>0.829646207815629</v>
      </c>
      <c r="R10" s="9" t="n">
        <v>50</v>
      </c>
      <c r="S10" s="32" t="n">
        <v>0.508375408781941</v>
      </c>
      <c r="T10" s="11" t="n">
        <v>50</v>
      </c>
    </row>
    <row r="11" outlineLevel="1" hidden="0">
      <c r="A11" s="8" t="s">
        <v>15</v>
      </c>
      <c r="B11" s="10" t="s">
        <v>24</v>
      </c>
      <c r="C11" s="33" t="n">
        <v>0.847788806403067</v>
      </c>
      <c r="D11" s="10" t="n">
        <v>348</v>
      </c>
      <c r="E11" s="33" t="n">
        <v>0.811488353456999</v>
      </c>
      <c r="F11" s="10" t="n">
        <v>96</v>
      </c>
      <c r="G11" s="33" t="n">
        <v>0.633353716408373</v>
      </c>
      <c r="H11" s="10" t="n">
        <v>96</v>
      </c>
      <c r="I11" s="33" t="n">
        <v>0.838826907752325</v>
      </c>
      <c r="J11" s="10" t="n">
        <v>181</v>
      </c>
      <c r="K11" s="33" t="n">
        <v>0.743155745277971</v>
      </c>
      <c r="L11" s="10" t="n">
        <v>53</v>
      </c>
      <c r="M11" s="33" t="n">
        <v>0.592464647191186</v>
      </c>
      <c r="N11" s="10" t="n">
        <v>53</v>
      </c>
      <c r="O11" s="33" t="n">
        <v>0.857544446486886</v>
      </c>
      <c r="P11" s="10" t="n">
        <v>167</v>
      </c>
      <c r="Q11" s="33" t="n">
        <v>0.924270595423412</v>
      </c>
      <c r="R11" s="10" t="n">
        <v>43</v>
      </c>
      <c r="S11" s="33" t="n">
        <v>0.700840689628424</v>
      </c>
      <c r="T11" s="13" t="n">
        <v>43</v>
      </c>
    </row>
    <row r="12">
      <c r="C12" s="34"/>
      <c r="E12" s="34"/>
      <c r="G12" s="34"/>
      <c r="I12" s="34"/>
      <c r="K12" s="34"/>
      <c r="M12" s="34"/>
      <c r="O12" s="34"/>
      <c r="Q12" s="34"/>
      <c r="S12" s="34"/>
    </row>
    <row r="13">
      <c r="A13" s="2" t="s">
        <v>25</v>
      </c>
      <c r="B13" s="2"/>
      <c r="C13" s="30"/>
      <c r="D13" s="2"/>
      <c r="E13" s="30"/>
      <c r="F13" s="2"/>
      <c r="G13" s="30"/>
      <c r="H13" s="2"/>
      <c r="I13" s="30"/>
      <c r="J13" s="2"/>
      <c r="K13" s="30"/>
      <c r="L13" s="2"/>
      <c r="M13" s="30"/>
      <c r="N13" s="2"/>
      <c r="O13" s="30"/>
      <c r="P13" s="2"/>
      <c r="Q13" s="30"/>
      <c r="R13" s="2"/>
      <c r="S13" s="30"/>
      <c r="T13" s="2"/>
    </row>
    <row r="14" outlineLevel="1" hidden="0">
      <c r="A14" s="6" t="s">
        <v>15</v>
      </c>
      <c r="B14" s="9" t="s">
        <v>26</v>
      </c>
      <c r="C14" s="32" t="n">
        <v>0.840169771985908</v>
      </c>
      <c r="D14" s="9" t="n">
        <v>113</v>
      </c>
      <c r="E14" s="32" t="n">
        <v>0.833932121838117</v>
      </c>
      <c r="F14" s="9" t="n">
        <v>30</v>
      </c>
      <c r="G14" s="32" t="n">
        <v>0.555954747892078</v>
      </c>
      <c r="H14" s="9" t="n">
        <v>30</v>
      </c>
      <c r="I14" s="32" t="n">
        <v>0.836296629746331</v>
      </c>
      <c r="J14" s="9" t="n">
        <v>58</v>
      </c>
      <c r="K14" s="32" t="n">
        <v>0.783423554611259</v>
      </c>
      <c r="L14" s="9" t="n">
        <v>19</v>
      </c>
      <c r="M14" s="32" t="n">
        <v>0.56591002141957</v>
      </c>
      <c r="N14" s="9" t="n">
        <v>19</v>
      </c>
      <c r="O14" s="32" t="n">
        <v>0.844223917103461</v>
      </c>
      <c r="P14" s="9" t="n">
        <v>55</v>
      </c>
      <c r="Q14" s="32" t="n">
        <v>0.923332098760078</v>
      </c>
      <c r="R14" s="9" t="n">
        <v>11</v>
      </c>
      <c r="S14" s="32" t="n">
        <v>0.538333950619961</v>
      </c>
      <c r="T14" s="11" t="n">
        <v>11</v>
      </c>
    </row>
    <row r="15" outlineLevel="1" hidden="0">
      <c r="A15" s="7" t="s">
        <v>15</v>
      </c>
      <c r="B15" t="s">
        <v>27</v>
      </c>
      <c r="C15" s="34" t="n">
        <v>0.720254649756574</v>
      </c>
      <c r="D15" t="n">
        <v>81</v>
      </c>
      <c r="E15" s="34" t="n">
        <v>0.804694472876722</v>
      </c>
      <c r="F15" t="n">
        <v>22</v>
      </c>
      <c r="G15" s="34" t="n">
        <v>0.587511156602756</v>
      </c>
      <c r="H15" t="n">
        <v>22</v>
      </c>
      <c r="I15" s="34" t="n">
        <v>0.625573774791597</v>
      </c>
      <c r="J15" t="n">
        <v>36</v>
      </c>
      <c r="K15" s="34" t="n">
        <v>0.751144048643079</v>
      </c>
      <c r="L15" t="n">
        <v>10</v>
      </c>
      <c r="M15" s="34" t="n">
        <v>0.625572024321539</v>
      </c>
      <c r="N15" t="n">
        <v>10</v>
      </c>
      <c r="O15" s="34" t="n">
        <v>0.79073740762616</v>
      </c>
      <c r="P15" t="n">
        <v>45</v>
      </c>
      <c r="Q15" s="34" t="n">
        <v>0.833333333333333</v>
      </c>
      <c r="R15" t="n">
        <v>12</v>
      </c>
      <c r="S15" s="34" t="n">
        <v>0.567156138037452</v>
      </c>
      <c r="T15" s="12" t="n">
        <v>12</v>
      </c>
    </row>
    <row r="16" outlineLevel="1" hidden="0">
      <c r="A16" s="7" t="s">
        <v>15</v>
      </c>
      <c r="B16" t="s">
        <v>28</v>
      </c>
      <c r="C16" s="34" t="n">
        <v>0.866993838997792</v>
      </c>
      <c r="D16" t="n">
        <v>66</v>
      </c>
      <c r="E16" s="34" t="n">
        <v>1</v>
      </c>
      <c r="F16" t="n">
        <v>16</v>
      </c>
      <c r="G16" s="34" t="n">
        <v>0.640644412336877</v>
      </c>
      <c r="H16" t="n">
        <v>16</v>
      </c>
      <c r="I16" s="34" t="n">
        <v>0.889604974850515</v>
      </c>
      <c r="J16" t="n">
        <v>31</v>
      </c>
      <c r="K16" s="34" t="n">
        <v>1</v>
      </c>
      <c r="L16" t="n">
        <v>8</v>
      </c>
      <c r="M16" s="34" t="n">
        <v>0.615897590845124</v>
      </c>
      <c r="N16" t="n">
        <v>8</v>
      </c>
      <c r="O16" s="34" t="n">
        <v>0.847283878579789</v>
      </c>
      <c r="P16" t="n">
        <v>35</v>
      </c>
      <c r="Q16" s="34" t="n">
        <v>1</v>
      </c>
      <c r="R16" t="n">
        <v>8</v>
      </c>
      <c r="S16" s="34" t="n">
        <v>0.664521864472956</v>
      </c>
      <c r="T16" s="12" t="n">
        <v>8</v>
      </c>
    </row>
    <row r="17" outlineLevel="1" hidden="0">
      <c r="A17" s="7" t="s">
        <v>15</v>
      </c>
      <c r="B17" t="s">
        <v>29</v>
      </c>
      <c r="C17" s="34" t="n">
        <v>0.729149798806434</v>
      </c>
      <c r="D17" t="n">
        <v>35</v>
      </c>
      <c r="E17" s="34" t="n">
        <v>0.695528274173812</v>
      </c>
      <c r="F17" t="n">
        <v>9</v>
      </c>
      <c r="G17" s="34" t="n">
        <v>0.449254712362302</v>
      </c>
      <c r="H17" t="n">
        <v>9</v>
      </c>
      <c r="I17" s="34" t="n">
        <v>0.658944282216417</v>
      </c>
      <c r="J17" t="n">
        <v>15</v>
      </c>
      <c r="K17" s="34" t="n">
        <v>0.658302577551558</v>
      </c>
      <c r="L17" t="n">
        <v>5</v>
      </c>
      <c r="M17" s="34" t="n">
        <v>0.41457564438789</v>
      </c>
      <c r="N17" t="n">
        <v>5</v>
      </c>
      <c r="O17" s="34" t="n">
        <v>0.782421007378026</v>
      </c>
      <c r="P17" t="n">
        <v>20</v>
      </c>
      <c r="Q17" s="34" t="n">
        <v>0.75</v>
      </c>
      <c r="R17" t="n">
        <v>4</v>
      </c>
      <c r="S17" s="34" t="n">
        <v>0.5</v>
      </c>
      <c r="T17" s="12" t="n">
        <v>4</v>
      </c>
    </row>
    <row r="18" outlineLevel="1" hidden="0">
      <c r="A18" s="7" t="s">
        <v>15</v>
      </c>
      <c r="B18" t="s">
        <v>30</v>
      </c>
      <c r="C18" s="34" t="n">
        <v>0.819926375823212</v>
      </c>
      <c r="D18" t="n">
        <v>58</v>
      </c>
      <c r="E18" s="34" t="n">
        <v>0.728323922699208</v>
      </c>
      <c r="F18" t="n">
        <v>14</v>
      </c>
      <c r="G18" s="34" t="n">
        <v>0.64987624706389</v>
      </c>
      <c r="H18" t="n">
        <v>14</v>
      </c>
      <c r="I18" s="34" t="n">
        <v>0.829923730154079</v>
      </c>
      <c r="J18" t="n">
        <v>30</v>
      </c>
      <c r="K18" s="34" t="n">
        <v>0.718411857167972</v>
      </c>
      <c r="L18" t="n">
        <v>10</v>
      </c>
      <c r="M18" s="34" t="n">
        <v>0.718411857167972</v>
      </c>
      <c r="N18" t="n">
        <v>10</v>
      </c>
      <c r="O18" s="34" t="n">
        <v>0.809563219511404</v>
      </c>
      <c r="P18" t="n">
        <v>28</v>
      </c>
      <c r="Q18" s="34" t="n">
        <v>0.75</v>
      </c>
      <c r="R18" t="n">
        <v>4</v>
      </c>
      <c r="S18" s="34" t="n">
        <v>0.5</v>
      </c>
      <c r="T18" s="12" t="n">
        <v>4</v>
      </c>
    </row>
    <row r="19" outlineLevel="1" hidden="0">
      <c r="A19" s="7" t="s">
        <v>15</v>
      </c>
      <c r="B19" t="s">
        <v>31</v>
      </c>
      <c r="C19" s="34" t="n">
        <v>0.699714301004425</v>
      </c>
      <c r="D19" t="n">
        <v>77</v>
      </c>
      <c r="E19" s="34" t="n">
        <v>0.87089763155877</v>
      </c>
      <c r="F19" t="n">
        <v>19</v>
      </c>
      <c r="G19" s="34" t="n">
        <v>0.460656378950597</v>
      </c>
      <c r="H19" t="n">
        <v>19</v>
      </c>
      <c r="I19" s="34" t="n">
        <v>0.731478989317828</v>
      </c>
      <c r="J19" t="n">
        <v>46</v>
      </c>
      <c r="K19" s="34" t="n">
        <v>1</v>
      </c>
      <c r="L19" t="n">
        <v>12</v>
      </c>
      <c r="M19" s="34" t="n">
        <v>0.481365604810989</v>
      </c>
      <c r="N19" t="n">
        <v>12</v>
      </c>
      <c r="O19" s="34" t="n">
        <v>0.6445001000719</v>
      </c>
      <c r="P19" t="n">
        <v>31</v>
      </c>
      <c r="Q19" s="34" t="n">
        <v>0.465192495105949</v>
      </c>
      <c r="R19" t="n">
        <v>7</v>
      </c>
      <c r="S19" s="34" t="n">
        <v>0.395577485317848</v>
      </c>
      <c r="T19" s="12" t="n">
        <v>7</v>
      </c>
    </row>
    <row r="20" outlineLevel="1" hidden="0">
      <c r="A20" s="7" t="s">
        <v>15</v>
      </c>
      <c r="B20" t="s">
        <v>32</v>
      </c>
      <c r="C20" s="34" t="n">
        <v>0.885744408785468</v>
      </c>
      <c r="D20" t="n">
        <v>67</v>
      </c>
      <c r="E20" s="34" t="n">
        <v>0.912530202520431</v>
      </c>
      <c r="F20" t="n">
        <v>22</v>
      </c>
      <c r="G20" s="34" t="n">
        <v>0.687953037806464</v>
      </c>
      <c r="H20" t="n">
        <v>22</v>
      </c>
      <c r="I20" s="34" t="n">
        <v>0.888888888888889</v>
      </c>
      <c r="J20" t="n">
        <v>36</v>
      </c>
      <c r="K20" s="34" t="n">
        <v>0.805256697422966</v>
      </c>
      <c r="L20" t="n">
        <v>12</v>
      </c>
      <c r="M20" s="34" t="n">
        <v>0.639486605154068</v>
      </c>
      <c r="N20" t="n">
        <v>12</v>
      </c>
      <c r="O20" s="34" t="n">
        <v>0.882653397081985</v>
      </c>
      <c r="P20" t="n">
        <v>31</v>
      </c>
      <c r="Q20" s="34" t="n">
        <v>1</v>
      </c>
      <c r="R20" t="n">
        <v>10</v>
      </c>
      <c r="S20" s="34" t="n">
        <v>0.727472106795684</v>
      </c>
      <c r="T20" s="12" t="n">
        <v>10</v>
      </c>
    </row>
    <row r="21" outlineLevel="1" hidden="0">
      <c r="A21" s="7" t="s">
        <v>15</v>
      </c>
      <c r="B21" t="s">
        <v>33</v>
      </c>
      <c r="C21" s="34" t="n">
        <v>0.875953242919424</v>
      </c>
      <c r="D21" t="n">
        <v>67</v>
      </c>
      <c r="E21" s="34" t="n">
        <v>0.882728627890617</v>
      </c>
      <c r="F21" t="n">
        <v>13</v>
      </c>
      <c r="G21" s="34" t="n">
        <v>0.635820079046864</v>
      </c>
      <c r="H21" t="n">
        <v>13</v>
      </c>
      <c r="I21" s="34" t="n">
        <v>0.931376779069552</v>
      </c>
      <c r="J21" t="n">
        <v>34</v>
      </c>
      <c r="K21" s="34" t="n">
        <v>0.547693898218432</v>
      </c>
      <c r="L21" t="n">
        <v>4</v>
      </c>
      <c r="M21" s="34" t="n">
        <v>0.5</v>
      </c>
      <c r="N21" t="n">
        <v>4</v>
      </c>
      <c r="O21" s="34" t="n">
        <v>0.828176348053054</v>
      </c>
      <c r="P21" t="n">
        <v>33</v>
      </c>
      <c r="Q21" s="34" t="n">
        <v>1</v>
      </c>
      <c r="R21" t="n">
        <v>9</v>
      </c>
      <c r="S21" s="34" t="n">
        <v>0.683360843090685</v>
      </c>
      <c r="T21" s="12" t="n">
        <v>9</v>
      </c>
    </row>
    <row r="22" outlineLevel="1" hidden="0">
      <c r="A22" s="7" t="s">
        <v>15</v>
      </c>
      <c r="B22" t="s">
        <v>34</v>
      </c>
      <c r="C22" s="34" t="n">
        <v>0.706105936058202</v>
      </c>
      <c r="D22" t="n">
        <v>77</v>
      </c>
      <c r="E22" s="34" t="n">
        <v>0.621331965328922</v>
      </c>
      <c r="F22" t="n">
        <v>20</v>
      </c>
      <c r="G22" s="34" t="n">
        <v>0.397065572263137</v>
      </c>
      <c r="H22" t="n">
        <v>20</v>
      </c>
      <c r="I22" s="34" t="n">
        <v>0.718587621403739</v>
      </c>
      <c r="J22" t="n">
        <v>30</v>
      </c>
      <c r="K22" s="34" t="n">
        <v>0.53289265521357</v>
      </c>
      <c r="L22" t="n">
        <v>7</v>
      </c>
      <c r="M22" s="34" t="n">
        <v>0.224504237115266</v>
      </c>
      <c r="N22" t="n">
        <v>7</v>
      </c>
      <c r="O22" s="34" t="n">
        <v>0.699186304535748</v>
      </c>
      <c r="P22" t="n">
        <v>47</v>
      </c>
      <c r="Q22" s="34" t="n">
        <v>0.663771612849847</v>
      </c>
      <c r="R22" t="n">
        <v>13</v>
      </c>
      <c r="S22" s="34" t="n">
        <v>0.479873118249915</v>
      </c>
      <c r="T22" s="12" t="n">
        <v>13</v>
      </c>
    </row>
    <row r="23" outlineLevel="1" hidden="0">
      <c r="A23" s="8" t="s">
        <v>15</v>
      </c>
      <c r="B23" s="10" t="s">
        <v>35</v>
      </c>
      <c r="C23" s="33" t="n">
        <v>0.829101970002217</v>
      </c>
      <c r="D23" s="10" t="n">
        <v>81</v>
      </c>
      <c r="E23" s="33" t="n">
        <v>0.948518563221097</v>
      </c>
      <c r="F23" s="10" t="n">
        <v>27</v>
      </c>
      <c r="G23" s="33" t="n">
        <v>0.794074252884389</v>
      </c>
      <c r="H23" s="10" t="n">
        <v>27</v>
      </c>
      <c r="I23" s="33" t="n">
        <v>0.794787821311354</v>
      </c>
      <c r="J23" s="10" t="n">
        <v>37</v>
      </c>
      <c r="K23" s="33" t="n">
        <v>0.911051398767378</v>
      </c>
      <c r="L23" s="10" t="n">
        <v>12</v>
      </c>
      <c r="M23" s="33" t="n">
        <v>0.822102797534755</v>
      </c>
      <c r="N23" s="10" t="n">
        <v>12</v>
      </c>
      <c r="O23" s="33" t="n">
        <v>0.866194646177782</v>
      </c>
      <c r="P23" s="10" t="n">
        <v>44</v>
      </c>
      <c r="Q23" s="33" t="n">
        <v>1</v>
      </c>
      <c r="R23" s="10" t="n">
        <v>15</v>
      </c>
      <c r="S23" s="33" t="n">
        <v>0.755561870897093</v>
      </c>
      <c r="T23" s="13" t="n">
        <v>15</v>
      </c>
    </row>
    <row r="24">
      <c r="C24" s="34"/>
      <c r="E24" s="34"/>
      <c r="G24" s="34"/>
      <c r="I24" s="34"/>
      <c r="K24" s="34"/>
      <c r="M24" s="34"/>
      <c r="O24" s="34"/>
      <c r="Q24" s="34"/>
      <c r="S24" s="34"/>
    </row>
    <row r="25">
      <c r="A25" s="2" t="s">
        <v>36</v>
      </c>
      <c r="B25" s="2"/>
      <c r="C25" s="30"/>
      <c r="D25" s="2"/>
      <c r="E25" s="30"/>
      <c r="F25" s="2"/>
      <c r="G25" s="30"/>
      <c r="H25" s="2"/>
      <c r="I25" s="30"/>
      <c r="J25" s="2"/>
      <c r="K25" s="30"/>
      <c r="L25" s="2"/>
      <c r="M25" s="30"/>
      <c r="N25" s="2"/>
      <c r="O25" s="30"/>
      <c r="P25" s="2"/>
      <c r="Q25" s="30"/>
      <c r="R25" s="2"/>
      <c r="S25" s="30"/>
      <c r="T25" s="2"/>
    </row>
    <row r="26" outlineLevel="1" hidden="0">
      <c r="A26" s="6" t="s">
        <v>15</v>
      </c>
      <c r="B26" s="9" t="s">
        <v>37</v>
      </c>
      <c r="C26" s="32" t="n">
        <v>0.727272727272727</v>
      </c>
      <c r="D26" s="9" t="n">
        <v>22</v>
      </c>
      <c r="E26" s="32" t="n">
        <v>0.857142857142857</v>
      </c>
      <c r="F26" s="9" t="n">
        <v>7</v>
      </c>
      <c r="G26" s="32" t="n">
        <v>0.714285714285714</v>
      </c>
      <c r="H26" s="9" t="n">
        <v>7</v>
      </c>
      <c r="I26" s="32" t="n">
        <v>0.777777777777778</v>
      </c>
      <c r="J26" s="9" t="n">
        <v>9</v>
      </c>
      <c r="K26" s="32" t="n">
        <v>1</v>
      </c>
      <c r="L26" s="9" t="n">
        <v>3</v>
      </c>
      <c r="M26" s="32" t="n">
        <v>1</v>
      </c>
      <c r="N26" s="9" t="n">
        <v>3</v>
      </c>
      <c r="O26" s="32" t="n">
        <v>0.692307692307692</v>
      </c>
      <c r="P26" s="9" t="n">
        <v>13</v>
      </c>
      <c r="Q26" s="32" t="n">
        <v>0.75</v>
      </c>
      <c r="R26" s="9" t="n">
        <v>4</v>
      </c>
      <c r="S26" s="32" t="n">
        <v>0.5</v>
      </c>
      <c r="T26" s="11" t="n">
        <v>4</v>
      </c>
    </row>
    <row r="27" outlineLevel="1" hidden="0">
      <c r="A27" s="7" t="s">
        <v>15</v>
      </c>
      <c r="B27" t="s">
        <v>38</v>
      </c>
      <c r="C27" s="34" t="n">
        <v>0.888888888888889</v>
      </c>
      <c r="D27" t="n">
        <v>36</v>
      </c>
      <c r="E27" s="34" t="n">
        <v>0.571428571428571</v>
      </c>
      <c r="F27" t="n">
        <v>7</v>
      </c>
      <c r="G27" s="34" t="n">
        <v>0.571428571428571</v>
      </c>
      <c r="H27" t="n">
        <v>7</v>
      </c>
      <c r="I27" s="34" t="n">
        <v>0.857142857142857</v>
      </c>
      <c r="J27" t="n">
        <v>21</v>
      </c>
      <c r="K27" s="34" t="n">
        <v>0.571428571428571</v>
      </c>
      <c r="L27" t="n">
        <v>7</v>
      </c>
      <c r="M27" s="34" t="n">
        <v>0.571428571428571</v>
      </c>
      <c r="N27" t="n">
        <v>7</v>
      </c>
      <c r="O27" s="34" t="n">
        <v>0.933333333333333</v>
      </c>
      <c r="P27" t="n">
        <v>15</v>
      </c>
      <c r="Q27" s="34"/>
      <c r="R27"/>
      <c r="S27" s="34"/>
      <c r="T27" s="12"/>
    </row>
    <row r="28" outlineLevel="1" hidden="0">
      <c r="A28" s="7" t="s">
        <v>15</v>
      </c>
      <c r="B28" t="s">
        <v>39</v>
      </c>
      <c r="C28" s="34" t="n">
        <v>0.714285714285714</v>
      </c>
      <c r="D28" t="n">
        <v>35</v>
      </c>
      <c r="E28" s="34" t="n">
        <v>0.909090909090909</v>
      </c>
      <c r="F28" t="n">
        <v>11</v>
      </c>
      <c r="G28" s="34" t="n">
        <v>0.454545454545455</v>
      </c>
      <c r="H28" t="n">
        <v>11</v>
      </c>
      <c r="I28" s="34" t="n">
        <v>0.739130434782609</v>
      </c>
      <c r="J28" t="n">
        <v>23</v>
      </c>
      <c r="K28" s="34" t="n">
        <v>1</v>
      </c>
      <c r="L28" t="n">
        <v>9</v>
      </c>
      <c r="M28" s="34" t="n">
        <v>0.444444444444444</v>
      </c>
      <c r="N28" t="n">
        <v>9</v>
      </c>
      <c r="O28" s="34" t="n">
        <v>0.666666666666667</v>
      </c>
      <c r="P28" t="n">
        <v>12</v>
      </c>
      <c r="Q28" s="34" t="n">
        <v>0.5</v>
      </c>
      <c r="R28" t="n">
        <v>2</v>
      </c>
      <c r="S28" s="34" t="n">
        <v>0.5</v>
      </c>
      <c r="T28" s="12" t="n">
        <v>2</v>
      </c>
    </row>
    <row r="29" outlineLevel="1" hidden="0">
      <c r="A29" s="7" t="s">
        <v>15</v>
      </c>
      <c r="B29" t="s">
        <v>40</v>
      </c>
      <c r="C29" s="34" t="n">
        <v>0.642857142857143</v>
      </c>
      <c r="D29" t="n">
        <v>42</v>
      </c>
      <c r="E29" s="34" t="n">
        <v>0.625</v>
      </c>
      <c r="F29" t="n">
        <v>8</v>
      </c>
      <c r="G29" s="34" t="n">
        <v>0.5</v>
      </c>
      <c r="H29" t="n">
        <v>8</v>
      </c>
      <c r="I29" s="34" t="n">
        <v>0.695652173913043</v>
      </c>
      <c r="J29" t="n">
        <v>23</v>
      </c>
      <c r="K29" s="34" t="n">
        <v>1</v>
      </c>
      <c r="L29" t="n">
        <v>3</v>
      </c>
      <c r="M29" s="34" t="n">
        <v>1</v>
      </c>
      <c r="N29" t="n">
        <v>3</v>
      </c>
      <c r="O29" s="34" t="n">
        <v>0.578947368421053</v>
      </c>
      <c r="P29" t="n">
        <v>19</v>
      </c>
      <c r="Q29" s="34" t="n">
        <v>0.4</v>
      </c>
      <c r="R29" t="n">
        <v>5</v>
      </c>
      <c r="S29" s="34" t="n">
        <v>0.2</v>
      </c>
      <c r="T29" s="12" t="n">
        <v>5</v>
      </c>
    </row>
    <row r="30" outlineLevel="1" hidden="0">
      <c r="A30" s="7" t="s">
        <v>15</v>
      </c>
      <c r="B30" t="s">
        <v>41</v>
      </c>
      <c r="C30" s="34" t="n">
        <v>0.870967741935484</v>
      </c>
      <c r="D30" t="n">
        <v>31</v>
      </c>
      <c r="E30" s="34" t="n">
        <v>0.875</v>
      </c>
      <c r="F30" t="n">
        <v>8</v>
      </c>
      <c r="G30" s="34" t="n">
        <v>0.625</v>
      </c>
      <c r="H30" t="n">
        <v>8</v>
      </c>
      <c r="I30" s="34" t="n">
        <v>0.928571428571428</v>
      </c>
      <c r="J30" t="n">
        <v>14</v>
      </c>
      <c r="K30" s="34" t="n">
        <v>0.5</v>
      </c>
      <c r="L30" t="n">
        <v>2</v>
      </c>
      <c r="M30" s="34" t="n">
        <v>0.5</v>
      </c>
      <c r="N30" t="n">
        <v>2</v>
      </c>
      <c r="O30" s="34" t="n">
        <v>0.823529411764706</v>
      </c>
      <c r="P30" t="n">
        <v>17</v>
      </c>
      <c r="Q30" s="34" t="n">
        <v>1</v>
      </c>
      <c r="R30" t="n">
        <v>6</v>
      </c>
      <c r="S30" s="34" t="n">
        <v>0.666666666666667</v>
      </c>
      <c r="T30" s="12" t="n">
        <v>6</v>
      </c>
    </row>
    <row r="31" outlineLevel="1" hidden="0">
      <c r="A31" s="7" t="s">
        <v>15</v>
      </c>
      <c r="B31" t="s">
        <v>42</v>
      </c>
      <c r="C31" s="34" t="n">
        <v>0.916666666666667</v>
      </c>
      <c r="D31" t="n">
        <v>36</v>
      </c>
      <c r="E31" s="34" t="n">
        <v>1</v>
      </c>
      <c r="F31" t="n">
        <v>5</v>
      </c>
      <c r="G31" s="34" t="n">
        <v>0.8</v>
      </c>
      <c r="H31" t="n">
        <v>5</v>
      </c>
      <c r="I31" s="34" t="n">
        <v>0.95</v>
      </c>
      <c r="J31" t="n">
        <v>20</v>
      </c>
      <c r="K31" s="34" t="n">
        <v>1</v>
      </c>
      <c r="L31" t="n">
        <v>2</v>
      </c>
      <c r="M31" s="34" t="n">
        <v>0.5</v>
      </c>
      <c r="N31" t="n">
        <v>2</v>
      </c>
      <c r="O31" s="34" t="n">
        <v>0.875</v>
      </c>
      <c r="P31" t="n">
        <v>16</v>
      </c>
      <c r="Q31" s="34" t="n">
        <v>1</v>
      </c>
      <c r="R31" t="n">
        <v>3</v>
      </c>
      <c r="S31" s="34" t="n">
        <v>1</v>
      </c>
      <c r="T31" s="12" t="n">
        <v>3</v>
      </c>
    </row>
    <row r="32" outlineLevel="1" hidden="0">
      <c r="A32" s="7" t="s">
        <v>15</v>
      </c>
      <c r="B32" t="s">
        <v>43</v>
      </c>
      <c r="C32" s="34" t="n">
        <v>0.844444444444444</v>
      </c>
      <c r="D32" t="n">
        <v>45</v>
      </c>
      <c r="E32" s="34" t="n">
        <v>0.941176470588235</v>
      </c>
      <c r="F32" t="n">
        <v>17</v>
      </c>
      <c r="G32" s="34" t="n">
        <v>0.764705882352941</v>
      </c>
      <c r="H32" t="n">
        <v>17</v>
      </c>
      <c r="I32" s="34" t="n">
        <v>0.8</v>
      </c>
      <c r="J32" t="n">
        <v>25</v>
      </c>
      <c r="K32" s="34" t="n">
        <v>0.909090909090909</v>
      </c>
      <c r="L32" t="n">
        <v>11</v>
      </c>
      <c r="M32" s="34" t="n">
        <v>0.818181818181818</v>
      </c>
      <c r="N32" t="n">
        <v>11</v>
      </c>
      <c r="O32" s="34" t="n">
        <v>0.9</v>
      </c>
      <c r="P32" t="n">
        <v>20</v>
      </c>
      <c r="Q32" s="34" t="n">
        <v>1</v>
      </c>
      <c r="R32" t="n">
        <v>6</v>
      </c>
      <c r="S32" s="34" t="n">
        <v>0.666666666666667</v>
      </c>
      <c r="T32" s="12" t="n">
        <v>6</v>
      </c>
    </row>
    <row r="33" outlineLevel="1" hidden="0">
      <c r="A33" s="7" t="s">
        <v>15</v>
      </c>
      <c r="B33" t="s">
        <v>44</v>
      </c>
      <c r="C33" s="34" t="n">
        <v>0.75</v>
      </c>
      <c r="D33" t="n">
        <v>36</v>
      </c>
      <c r="E33" s="34" t="n">
        <v>1</v>
      </c>
      <c r="F33" t="n">
        <v>10</v>
      </c>
      <c r="G33" s="34" t="n">
        <v>1</v>
      </c>
      <c r="H33" t="n">
        <v>10</v>
      </c>
      <c r="I33" s="34" t="n">
        <v>0.75</v>
      </c>
      <c r="J33" t="n">
        <v>12</v>
      </c>
      <c r="K33" s="34" t="n">
        <v>1</v>
      </c>
      <c r="L33" t="n">
        <v>1</v>
      </c>
      <c r="M33" s="34" t="n">
        <v>1</v>
      </c>
      <c r="N33" t="n">
        <v>1</v>
      </c>
      <c r="O33" s="34" t="n">
        <v>0.75</v>
      </c>
      <c r="P33" t="n">
        <v>24</v>
      </c>
      <c r="Q33" s="34" t="n">
        <v>1</v>
      </c>
      <c r="R33" t="n">
        <v>9</v>
      </c>
      <c r="S33" s="34" t="n">
        <v>1</v>
      </c>
      <c r="T33" s="12" t="n">
        <v>9</v>
      </c>
    </row>
    <row r="34" outlineLevel="1" hidden="0">
      <c r="A34" s="7" t="s">
        <v>15</v>
      </c>
      <c r="B34" t="s">
        <v>45</v>
      </c>
      <c r="C34" s="34" t="n">
        <v>0.666666666666667</v>
      </c>
      <c r="D34" t="n">
        <v>18</v>
      </c>
      <c r="E34" s="34" t="n">
        <v>1</v>
      </c>
      <c r="F34" t="n">
        <v>2</v>
      </c>
      <c r="G34" s="34" t="n">
        <v>0.5</v>
      </c>
      <c r="H34" t="n">
        <v>2</v>
      </c>
      <c r="I34" s="34" t="n">
        <v>0.625</v>
      </c>
      <c r="J34" t="n">
        <v>8</v>
      </c>
      <c r="K34" s="34" t="n">
        <v>1</v>
      </c>
      <c r="L34" t="n">
        <v>2</v>
      </c>
      <c r="M34" s="34" t="n">
        <v>0.5</v>
      </c>
      <c r="N34" t="n">
        <v>2</v>
      </c>
      <c r="O34" s="34" t="n">
        <v>0.7</v>
      </c>
      <c r="P34" t="n">
        <v>10</v>
      </c>
      <c r="Q34" s="34"/>
      <c r="R34"/>
      <c r="S34" s="34"/>
      <c r="T34" s="12"/>
    </row>
    <row r="35" outlineLevel="1" hidden="0">
      <c r="A35" s="7" t="s">
        <v>15</v>
      </c>
      <c r="B35" t="s">
        <v>46</v>
      </c>
      <c r="C35" s="34" t="n">
        <v>0.823529411764706</v>
      </c>
      <c r="D35" t="n">
        <v>17</v>
      </c>
      <c r="E35" s="34" t="n">
        <v>0.571428571428571</v>
      </c>
      <c r="F35" t="n">
        <v>7</v>
      </c>
      <c r="G35" s="34" t="n">
        <v>0.428571428571429</v>
      </c>
      <c r="H35" t="n">
        <v>7</v>
      </c>
      <c r="I35" s="34" t="n">
        <v>0.714285714285714</v>
      </c>
      <c r="J35" t="n">
        <v>7</v>
      </c>
      <c r="K35" s="34" t="n">
        <v>0.333333333333333</v>
      </c>
      <c r="L35" t="n">
        <v>3</v>
      </c>
      <c r="M35" s="34" t="n">
        <v>0.333333333333333</v>
      </c>
      <c r="N35" t="n">
        <v>3</v>
      </c>
      <c r="O35" s="34" t="n">
        <v>0.9</v>
      </c>
      <c r="P35" t="n">
        <v>10</v>
      </c>
      <c r="Q35" s="34" t="n">
        <v>0.75</v>
      </c>
      <c r="R35" t="n">
        <v>4</v>
      </c>
      <c r="S35" s="34" t="n">
        <v>0.5</v>
      </c>
      <c r="T35" s="12" t="n">
        <v>4</v>
      </c>
    </row>
    <row r="36" outlineLevel="1" hidden="0">
      <c r="A36" s="7" t="s">
        <v>15</v>
      </c>
      <c r="B36" t="s">
        <v>47</v>
      </c>
      <c r="C36" s="34" t="n">
        <v>0.621621621621622</v>
      </c>
      <c r="D36" t="n">
        <v>37</v>
      </c>
      <c r="E36" s="34" t="n">
        <v>0.5</v>
      </c>
      <c r="F36" t="n">
        <v>10</v>
      </c>
      <c r="G36" s="34" t="n">
        <v>0.3</v>
      </c>
      <c r="H36" t="n">
        <v>10</v>
      </c>
      <c r="I36" s="34" t="n">
        <v>0.583333333333333</v>
      </c>
      <c r="J36" t="n">
        <v>12</v>
      </c>
      <c r="K36" s="34" t="n">
        <v>0.333333333333333</v>
      </c>
      <c r="L36" t="n">
        <v>3</v>
      </c>
      <c r="M36" s="34"/>
      <c r="N36"/>
      <c r="O36" s="34" t="n">
        <v>0.64</v>
      </c>
      <c r="P36" t="n">
        <v>25</v>
      </c>
      <c r="Q36" s="34" t="n">
        <v>0.571428571428572</v>
      </c>
      <c r="R36" t="n">
        <v>7</v>
      </c>
      <c r="S36" s="34" t="n">
        <v>0.428571428571429</v>
      </c>
      <c r="T36" s="12" t="n">
        <v>7</v>
      </c>
    </row>
    <row r="37" outlineLevel="1" hidden="0">
      <c r="A37" s="7" t="s">
        <v>15</v>
      </c>
      <c r="B37" t="s">
        <v>48</v>
      </c>
      <c r="C37" s="34" t="n">
        <v>0.95</v>
      </c>
      <c r="D37" t="n">
        <v>40</v>
      </c>
      <c r="E37" s="34" t="n">
        <v>1</v>
      </c>
      <c r="F37" t="n">
        <v>10</v>
      </c>
      <c r="G37" s="34" t="n">
        <v>0.7</v>
      </c>
      <c r="H37" t="n">
        <v>10</v>
      </c>
      <c r="I37" s="34" t="n">
        <v>1</v>
      </c>
      <c r="J37" t="n">
        <v>18</v>
      </c>
      <c r="K37" s="34" t="n">
        <v>1</v>
      </c>
      <c r="L37" t="n">
        <v>4</v>
      </c>
      <c r="M37" s="34" t="n">
        <v>0.75</v>
      </c>
      <c r="N37" t="n">
        <v>4</v>
      </c>
      <c r="O37" s="34" t="n">
        <v>0.909090909090909</v>
      </c>
      <c r="P37" t="n">
        <v>22</v>
      </c>
      <c r="Q37" s="34" t="n">
        <v>1</v>
      </c>
      <c r="R37" t="n">
        <v>6</v>
      </c>
      <c r="S37" s="34" t="n">
        <v>0.666666666666667</v>
      </c>
      <c r="T37" s="12" t="n">
        <v>6</v>
      </c>
    </row>
    <row r="38" outlineLevel="1" hidden="0">
      <c r="A38" s="7" t="s">
        <v>15</v>
      </c>
      <c r="B38" t="s">
        <v>49</v>
      </c>
      <c r="C38" s="34" t="n">
        <v>0.794117647058823</v>
      </c>
      <c r="D38" t="n">
        <v>34</v>
      </c>
      <c r="E38" s="34" t="n">
        <v>1</v>
      </c>
      <c r="F38" t="n">
        <v>5</v>
      </c>
      <c r="G38" s="34" t="n">
        <v>0.8</v>
      </c>
      <c r="H38" t="n">
        <v>5</v>
      </c>
      <c r="I38" s="34" t="n">
        <v>0.8</v>
      </c>
      <c r="J38" t="n">
        <v>15</v>
      </c>
      <c r="K38" s="34" t="n">
        <v>1</v>
      </c>
      <c r="L38" t="n">
        <v>2</v>
      </c>
      <c r="M38" s="34" t="n">
        <v>0.5</v>
      </c>
      <c r="N38" t="n">
        <v>2</v>
      </c>
      <c r="O38" s="34" t="n">
        <v>0.789473684210526</v>
      </c>
      <c r="P38" t="n">
        <v>19</v>
      </c>
      <c r="Q38" s="34" t="n">
        <v>1</v>
      </c>
      <c r="R38" t="n">
        <v>3</v>
      </c>
      <c r="S38" s="34" t="n">
        <v>1</v>
      </c>
      <c r="T38" s="12" t="n">
        <v>3</v>
      </c>
    </row>
    <row r="39" outlineLevel="1" hidden="0">
      <c r="A39" s="7" t="s">
        <v>15</v>
      </c>
      <c r="B39" t="s">
        <v>50</v>
      </c>
      <c r="C39" s="34" t="n">
        <v>0.96875</v>
      </c>
      <c r="D39" t="n">
        <v>32</v>
      </c>
      <c r="E39" s="34" t="n">
        <v>1</v>
      </c>
      <c r="F39" t="n">
        <v>11</v>
      </c>
      <c r="G39" s="34" t="n">
        <v>0.545454545454545</v>
      </c>
      <c r="H39" t="n">
        <v>11</v>
      </c>
      <c r="I39" s="34" t="n">
        <v>1</v>
      </c>
      <c r="J39" t="n">
        <v>16</v>
      </c>
      <c r="K39" s="34" t="n">
        <v>1</v>
      </c>
      <c r="L39" t="n">
        <v>6</v>
      </c>
      <c r="M39" s="34" t="n">
        <v>0.666666666666667</v>
      </c>
      <c r="N39" t="n">
        <v>6</v>
      </c>
      <c r="O39" s="34" t="n">
        <v>0.9375</v>
      </c>
      <c r="P39" t="n">
        <v>16</v>
      </c>
      <c r="Q39" s="34" t="n">
        <v>1</v>
      </c>
      <c r="R39" t="n">
        <v>5</v>
      </c>
      <c r="S39" s="34" t="n">
        <v>0.4</v>
      </c>
      <c r="T39" s="12" t="n">
        <v>5</v>
      </c>
    </row>
    <row r="40" outlineLevel="1" hidden="0">
      <c r="A40" s="7" t="s">
        <v>15</v>
      </c>
      <c r="B40" t="s">
        <v>51</v>
      </c>
      <c r="C40" s="34" t="n">
        <v>1</v>
      </c>
      <c r="D40" t="n">
        <v>18</v>
      </c>
      <c r="E40" s="34" t="n">
        <v>1</v>
      </c>
      <c r="F40" t="n">
        <v>6</v>
      </c>
      <c r="G40" s="34" t="n">
        <v>0.666666666666667</v>
      </c>
      <c r="H40" t="n">
        <v>6</v>
      </c>
      <c r="I40" s="34" t="n">
        <v>1</v>
      </c>
      <c r="J40" t="n">
        <v>9</v>
      </c>
      <c r="K40" s="34" t="n">
        <v>1</v>
      </c>
      <c r="L40" t="n">
        <v>4</v>
      </c>
      <c r="M40" s="34" t="n">
        <v>0.75</v>
      </c>
      <c r="N40" t="n">
        <v>4</v>
      </c>
      <c r="O40" s="34" t="n">
        <v>1</v>
      </c>
      <c r="P40" t="n">
        <v>9</v>
      </c>
      <c r="Q40" s="34" t="n">
        <v>1</v>
      </c>
      <c r="R40" t="n">
        <v>2</v>
      </c>
      <c r="S40" s="34" t="n">
        <v>0.5</v>
      </c>
      <c r="T40" s="12" t="n">
        <v>2</v>
      </c>
    </row>
    <row r="41" outlineLevel="1" hidden="0">
      <c r="A41" s="7" t="s">
        <v>15</v>
      </c>
      <c r="B41" t="s">
        <v>52</v>
      </c>
      <c r="C41" s="34" t="n">
        <v>0.778947368421053</v>
      </c>
      <c r="D41" t="n">
        <v>95</v>
      </c>
      <c r="E41" s="34" t="n">
        <v>0.75</v>
      </c>
      <c r="F41" t="n">
        <v>24</v>
      </c>
      <c r="G41" s="34" t="n">
        <v>0.5</v>
      </c>
      <c r="H41" t="n">
        <v>24</v>
      </c>
      <c r="I41" s="34" t="n">
        <v>0.775510204081633</v>
      </c>
      <c r="J41" t="n">
        <v>49</v>
      </c>
      <c r="K41" s="34" t="n">
        <v>0.666666666666667</v>
      </c>
      <c r="L41" t="n">
        <v>15</v>
      </c>
      <c r="M41" s="34" t="n">
        <v>0.466666666666667</v>
      </c>
      <c r="N41" t="n">
        <v>15</v>
      </c>
      <c r="O41" s="34" t="n">
        <v>0.782608695652174</v>
      </c>
      <c r="P41" t="n">
        <v>46</v>
      </c>
      <c r="Q41" s="34" t="n">
        <v>0.888888888888889</v>
      </c>
      <c r="R41" t="n">
        <v>9</v>
      </c>
      <c r="S41" s="34" t="n">
        <v>0.555555555555556</v>
      </c>
      <c r="T41" s="12" t="n">
        <v>9</v>
      </c>
    </row>
    <row r="42" outlineLevel="1" hidden="0">
      <c r="A42" s="7" t="s">
        <v>15</v>
      </c>
      <c r="B42" t="s">
        <v>53</v>
      </c>
      <c r="C42" s="34" t="n">
        <v>0.6875</v>
      </c>
      <c r="D42" t="n">
        <v>48</v>
      </c>
      <c r="E42" s="34" t="n">
        <v>0.75</v>
      </c>
      <c r="F42" t="n">
        <v>8</v>
      </c>
      <c r="G42" s="34" t="n">
        <v>0.5</v>
      </c>
      <c r="H42" t="n">
        <v>8</v>
      </c>
      <c r="I42" s="34" t="n">
        <v>0.55</v>
      </c>
      <c r="J42" t="n">
        <v>20</v>
      </c>
      <c r="K42" s="34" t="n">
        <v>0.5</v>
      </c>
      <c r="L42" t="n">
        <v>2</v>
      </c>
      <c r="M42" s="34" t="n">
        <v>0.5</v>
      </c>
      <c r="N42" t="n">
        <v>2</v>
      </c>
      <c r="O42" s="34" t="n">
        <v>0.785714285714286</v>
      </c>
      <c r="P42" t="n">
        <v>28</v>
      </c>
      <c r="Q42" s="34" t="n">
        <v>0.833333333333333</v>
      </c>
      <c r="R42" t="n">
        <v>6</v>
      </c>
      <c r="S42" s="34" t="n">
        <v>0.5</v>
      </c>
      <c r="T42" s="12" t="n">
        <v>6</v>
      </c>
    </row>
    <row r="43" outlineLevel="1" hidden="0">
      <c r="A43" s="7" t="s">
        <v>15</v>
      </c>
      <c r="B43" t="s">
        <v>54</v>
      </c>
      <c r="C43" s="34" t="n">
        <v>0.909090909090909</v>
      </c>
      <c r="D43" t="n">
        <v>33</v>
      </c>
      <c r="E43" s="34" t="n">
        <v>0.928571428571428</v>
      </c>
      <c r="F43" t="n">
        <v>14</v>
      </c>
      <c r="G43" s="34" t="n">
        <v>0.785714285714286</v>
      </c>
      <c r="H43" t="n">
        <v>14</v>
      </c>
      <c r="I43" s="34" t="n">
        <v>1</v>
      </c>
      <c r="J43" t="n">
        <v>16</v>
      </c>
      <c r="K43" s="34" t="n">
        <v>1</v>
      </c>
      <c r="L43" t="n">
        <v>8</v>
      </c>
      <c r="M43" s="34" t="n">
        <v>0.75</v>
      </c>
      <c r="N43" t="n">
        <v>8</v>
      </c>
      <c r="O43" s="34" t="n">
        <v>0.823529411764706</v>
      </c>
      <c r="P43" t="n">
        <v>17</v>
      </c>
      <c r="Q43" s="34" t="n">
        <v>0.833333333333333</v>
      </c>
      <c r="R43" t="n">
        <v>6</v>
      </c>
      <c r="S43" s="34" t="n">
        <v>0.833333333333333</v>
      </c>
      <c r="T43" s="12" t="n">
        <v>6</v>
      </c>
    </row>
    <row r="44" outlineLevel="1" hidden="0">
      <c r="A44" s="7" t="s">
        <v>15</v>
      </c>
      <c r="B44" t="s">
        <v>55</v>
      </c>
      <c r="C44" s="34" t="n">
        <v>0.875</v>
      </c>
      <c r="D44" t="n">
        <v>40</v>
      </c>
      <c r="E44" s="34" t="n">
        <v>0.916666666666667</v>
      </c>
      <c r="F44" t="n">
        <v>12</v>
      </c>
      <c r="G44" s="34" t="n">
        <v>0.75</v>
      </c>
      <c r="H44" t="n">
        <v>12</v>
      </c>
      <c r="I44" s="34" t="n">
        <v>0.888888888888889</v>
      </c>
      <c r="J44" t="n">
        <v>18</v>
      </c>
      <c r="K44" s="34" t="n">
        <v>0.75</v>
      </c>
      <c r="L44" t="n">
        <v>4</v>
      </c>
      <c r="M44" s="34" t="n">
        <v>0.75</v>
      </c>
      <c r="N44" t="n">
        <v>4</v>
      </c>
      <c r="O44" s="34" t="n">
        <v>0.863636363636364</v>
      </c>
      <c r="P44" t="n">
        <v>22</v>
      </c>
      <c r="Q44" s="34" t="n">
        <v>1</v>
      </c>
      <c r="R44" t="n">
        <v>8</v>
      </c>
      <c r="S44" s="34" t="n">
        <v>0.75</v>
      </c>
      <c r="T44" s="12" t="n">
        <v>8</v>
      </c>
    </row>
    <row r="45" outlineLevel="1" hidden="0">
      <c r="A45" s="8" t="s">
        <v>15</v>
      </c>
      <c r="B45" s="10" t="s">
        <v>56</v>
      </c>
      <c r="C45" s="33" t="n">
        <v>0.925925925925926</v>
      </c>
      <c r="D45" s="10" t="n">
        <v>27</v>
      </c>
      <c r="E45" s="33" t="n">
        <v>0.9</v>
      </c>
      <c r="F45" s="10" t="n">
        <v>10</v>
      </c>
      <c r="G45" s="33" t="n">
        <v>0.5</v>
      </c>
      <c r="H45" s="10" t="n">
        <v>10</v>
      </c>
      <c r="I45" s="33" t="n">
        <v>0.888888888888889</v>
      </c>
      <c r="J45" s="10" t="n">
        <v>18</v>
      </c>
      <c r="K45" s="33" t="n">
        <v>0.875</v>
      </c>
      <c r="L45" s="10" t="n">
        <v>8</v>
      </c>
      <c r="M45" s="33" t="n">
        <v>0.5</v>
      </c>
      <c r="N45" s="10" t="n">
        <v>8</v>
      </c>
      <c r="O45" s="33" t="n">
        <v>1</v>
      </c>
      <c r="P45" s="10" t="n">
        <v>9</v>
      </c>
      <c r="Q45" s="33" t="n">
        <v>1</v>
      </c>
      <c r="R45" s="10" t="n">
        <v>2</v>
      </c>
      <c r="S45" s="33" t="n">
        <v>0.5</v>
      </c>
      <c r="T45" s="13" t="n">
        <v>2</v>
      </c>
    </row>
    <row r="46">
      <c r="C46" s="34"/>
      <c r="E46" s="34"/>
      <c r="G46" s="34"/>
      <c r="I46" s="34"/>
      <c r="K46" s="34"/>
      <c r="M46" s="34"/>
      <c r="O46" s="34"/>
      <c r="Q46" s="34"/>
      <c r="S46" s="34"/>
    </row>
    <row r="47">
      <c r="A47" s="2" t="s">
        <v>57</v>
      </c>
      <c r="B47" s="2"/>
      <c r="C47" s="30"/>
      <c r="D47" s="2"/>
      <c r="E47" s="30"/>
      <c r="F47" s="2"/>
      <c r="G47" s="30"/>
      <c r="H47" s="2"/>
      <c r="I47" s="30"/>
      <c r="J47" s="2"/>
      <c r="K47" s="30"/>
      <c r="L47" s="2"/>
      <c r="M47" s="30"/>
      <c r="N47" s="2"/>
      <c r="O47" s="30"/>
      <c r="P47" s="2"/>
      <c r="Q47" s="30"/>
      <c r="R47" s="2"/>
      <c r="S47" s="30"/>
      <c r="T47" s="2"/>
    </row>
    <row r="48" outlineLevel="1" hidden="0">
      <c r="A48" s="6" t="s">
        <v>15</v>
      </c>
      <c r="B48" s="9" t="s">
        <v>59</v>
      </c>
      <c r="C48" s="32" t="n">
        <v>0.692509006160843</v>
      </c>
      <c r="D48" s="9" t="n">
        <v>90</v>
      </c>
      <c r="E48" s="32" t="n">
        <v>0.71221475441436</v>
      </c>
      <c r="F48" s="9" t="n">
        <v>26</v>
      </c>
      <c r="G48" s="32" t="n">
        <v>0.317907361054407</v>
      </c>
      <c r="H48" s="9" t="n">
        <v>26</v>
      </c>
      <c r="I48" s="32" t="n">
        <v>0.733686585309411</v>
      </c>
      <c r="J48" s="9" t="n">
        <v>41</v>
      </c>
      <c r="K48" s="32" t="n">
        <v>0.771390544807167</v>
      </c>
      <c r="L48" s="9" t="n">
        <v>13</v>
      </c>
      <c r="M48" s="32" t="n">
        <v>0.355454174610811</v>
      </c>
      <c r="N48" s="9" t="n">
        <v>13</v>
      </c>
      <c r="O48" s="32" t="n">
        <v>0.656854039587085</v>
      </c>
      <c r="P48" s="9" t="n">
        <v>49</v>
      </c>
      <c r="Q48" s="32" t="n">
        <v>0.625798624931009</v>
      </c>
      <c r="R48" s="9" t="n">
        <v>13</v>
      </c>
      <c r="S48" s="32" t="n">
        <v>0.263076656125252</v>
      </c>
      <c r="T48" s="11" t="n">
        <v>13</v>
      </c>
    </row>
    <row r="49" outlineLevel="1" hidden="0">
      <c r="A49" s="7" t="s">
        <v>15</v>
      </c>
      <c r="B49" t="s">
        <v>61</v>
      </c>
      <c r="C49" s="34" t="n">
        <v>0.51871774563171</v>
      </c>
      <c r="D49" t="n">
        <v>3</v>
      </c>
      <c r="E49" s="34"/>
      <c r="F49"/>
      <c r="G49" s="34"/>
      <c r="H49"/>
      <c r="I49" s="34" t="n">
        <v>0.51871774563171</v>
      </c>
      <c r="J49" t="n">
        <v>3</v>
      </c>
      <c r="K49" s="34"/>
      <c r="L49"/>
      <c r="M49" s="34"/>
      <c r="N49"/>
      <c r="O49" s="34"/>
      <c r="P49"/>
      <c r="Q49" s="34"/>
      <c r="R49"/>
      <c r="S49" s="34"/>
      <c r="T49" s="12"/>
    </row>
    <row r="50" outlineLevel="1" hidden="0">
      <c r="A50" s="7" t="s">
        <v>15</v>
      </c>
      <c r="B50" t="s">
        <v>62</v>
      </c>
      <c r="C50" s="34" t="n">
        <v>1</v>
      </c>
      <c r="D50" t="n">
        <v>1</v>
      </c>
      <c r="E50" s="34"/>
      <c r="F50"/>
      <c r="G50" s="34"/>
      <c r="H50"/>
      <c r="I50" s="34" t="n">
        <v>1</v>
      </c>
      <c r="J50" t="n">
        <v>1</v>
      </c>
      <c r="K50" s="34"/>
      <c r="L50"/>
      <c r="M50" s="34"/>
      <c r="N50"/>
      <c r="O50" s="34"/>
      <c r="P50"/>
      <c r="Q50" s="34"/>
      <c r="R50"/>
      <c r="S50" s="34"/>
      <c r="T50" s="12"/>
    </row>
    <row r="51" outlineLevel="1" hidden="0">
      <c r="A51" s="7" t="s">
        <v>15</v>
      </c>
      <c r="B51" t="s">
        <v>63</v>
      </c>
      <c r="C51" s="34" t="n">
        <v>0.87925181451472</v>
      </c>
      <c r="D51" t="n">
        <v>9</v>
      </c>
      <c r="E51" s="34" t="n">
        <v>1</v>
      </c>
      <c r="F51" t="n">
        <v>1</v>
      </c>
      <c r="G51" s="34" t="n">
        <v>1</v>
      </c>
      <c r="H51" t="n">
        <v>1</v>
      </c>
      <c r="I51" s="34" t="n">
        <v>1</v>
      </c>
      <c r="J51" t="n">
        <v>3</v>
      </c>
      <c r="K51" s="34"/>
      <c r="L51"/>
      <c r="M51" s="34"/>
      <c r="N51"/>
      <c r="O51" s="34" t="n">
        <v>0.81622787052961</v>
      </c>
      <c r="P51" t="n">
        <v>6</v>
      </c>
      <c r="Q51" s="34" t="n">
        <v>1</v>
      </c>
      <c r="R51" t="n">
        <v>1</v>
      </c>
      <c r="S51" s="34" t="n">
        <v>1</v>
      </c>
      <c r="T51" s="12" t="n">
        <v>1</v>
      </c>
    </row>
    <row r="52" outlineLevel="1" hidden="0">
      <c r="A52" s="7" t="s">
        <v>15</v>
      </c>
      <c r="B52" t="s">
        <v>67</v>
      </c>
      <c r="C52" s="34" t="n">
        <v>0.739720525067653</v>
      </c>
      <c r="D52" t="n">
        <v>23</v>
      </c>
      <c r="E52" s="34" t="n">
        <v>0.562424328604305</v>
      </c>
      <c r="F52" t="n">
        <v>8</v>
      </c>
      <c r="G52" s="34" t="n">
        <v>0.402336922686889</v>
      </c>
      <c r="H52" t="n">
        <v>8</v>
      </c>
      <c r="I52" s="34" t="n">
        <v>0.75277913003934</v>
      </c>
      <c r="J52" t="n">
        <v>5</v>
      </c>
      <c r="K52" s="34" t="n">
        <v>0.5</v>
      </c>
      <c r="L52" t="n">
        <v>2</v>
      </c>
      <c r="M52" s="34" t="n">
        <v>0.5</v>
      </c>
      <c r="N52" t="n">
        <v>2</v>
      </c>
      <c r="O52" s="34" t="n">
        <v>0.735948513746014</v>
      </c>
      <c r="P52" t="n">
        <v>18</v>
      </c>
      <c r="Q52" s="34" t="n">
        <v>0.586850346308466</v>
      </c>
      <c r="R52" t="n">
        <v>6</v>
      </c>
      <c r="S52" s="34" t="n">
        <v>0.364122333778545</v>
      </c>
      <c r="T52" s="12" t="n">
        <v>6</v>
      </c>
    </row>
    <row r="53" outlineLevel="1" hidden="0">
      <c r="A53" s="7" t="s">
        <v>15</v>
      </c>
      <c r="B53" t="s">
        <v>71</v>
      </c>
      <c r="C53" s="34" t="n">
        <v>0.589274949319786</v>
      </c>
      <c r="D53" t="n">
        <v>3</v>
      </c>
      <c r="E53" s="34"/>
      <c r="F53"/>
      <c r="G53" s="34"/>
      <c r="H53"/>
      <c r="I53" s="34" t="n">
        <v>1</v>
      </c>
      <c r="J53" t="n">
        <v>2</v>
      </c>
      <c r="K53" s="34"/>
      <c r="L53"/>
      <c r="M53" s="34"/>
      <c r="N53"/>
      <c r="O53" s="34"/>
      <c r="P53"/>
      <c r="Q53" s="34"/>
      <c r="R53"/>
      <c r="S53" s="34"/>
      <c r="T53" s="12"/>
    </row>
    <row r="54" outlineLevel="1" hidden="0">
      <c r="A54" s="7" t="s">
        <v>15</v>
      </c>
      <c r="B54" t="s">
        <v>72</v>
      </c>
      <c r="C54" s="34" t="n">
        <v>0.762955476325363</v>
      </c>
      <c r="D54" t="n">
        <v>8</v>
      </c>
      <c r="E54" s="34" t="n">
        <v>0.389462298900641</v>
      </c>
      <c r="F54" t="n">
        <v>2</v>
      </c>
      <c r="G54" s="34" t="n">
        <v>0.389462298900641</v>
      </c>
      <c r="H54" t="n">
        <v>2</v>
      </c>
      <c r="I54" s="34" t="n">
        <v>0.739285615242464</v>
      </c>
      <c r="J54" t="n">
        <v>7</v>
      </c>
      <c r="K54" s="34"/>
      <c r="L54"/>
      <c r="M54" s="34"/>
      <c r="N54"/>
      <c r="O54" s="34" t="n">
        <v>1</v>
      </c>
      <c r="P54" t="n">
        <v>1</v>
      </c>
      <c r="Q54" s="34" t="n">
        <v>1</v>
      </c>
      <c r="R54" t="n">
        <v>1</v>
      </c>
      <c r="S54" s="34" t="n">
        <v>1</v>
      </c>
      <c r="T54" s="12" t="n">
        <v>1</v>
      </c>
    </row>
    <row r="55" outlineLevel="1" hidden="0">
      <c r="A55" s="7" t="s">
        <v>15</v>
      </c>
      <c r="B55" t="s">
        <v>73</v>
      </c>
      <c r="C55" s="34" t="n">
        <v>1</v>
      </c>
      <c r="D55" t="n">
        <v>1</v>
      </c>
      <c r="E55" s="34" t="n">
        <v>1</v>
      </c>
      <c r="F55" t="n">
        <v>1</v>
      </c>
      <c r="G55" s="34" t="n">
        <v>1</v>
      </c>
      <c r="H55" t="n">
        <v>1</v>
      </c>
      <c r="I55" s="34" t="n">
        <v>1</v>
      </c>
      <c r="J55" t="n">
        <v>1</v>
      </c>
      <c r="K55" s="34" t="n">
        <v>1</v>
      </c>
      <c r="L55" t="n">
        <v>1</v>
      </c>
      <c r="M55" s="34" t="n">
        <v>1</v>
      </c>
      <c r="N55" t="n">
        <v>1</v>
      </c>
      <c r="O55" s="34"/>
      <c r="P55"/>
      <c r="Q55" s="34"/>
      <c r="R55"/>
      <c r="S55" s="34"/>
      <c r="T55" s="12"/>
    </row>
    <row r="56" outlineLevel="1" hidden="0">
      <c r="A56" s="7" t="s">
        <v>15</v>
      </c>
      <c r="B56" t="s">
        <v>76</v>
      </c>
      <c r="C56" s="34" t="n">
        <v>1</v>
      </c>
      <c r="D56" t="n">
        <v>1</v>
      </c>
      <c r="E56" s="34"/>
      <c r="F56"/>
      <c r="G56" s="34"/>
      <c r="H56"/>
      <c r="I56" s="34"/>
      <c r="J56"/>
      <c r="K56" s="34"/>
      <c r="L56"/>
      <c r="M56" s="34"/>
      <c r="N56"/>
      <c r="O56" s="34" t="n">
        <v>1</v>
      </c>
      <c r="P56" t="n">
        <v>1</v>
      </c>
      <c r="Q56" s="34"/>
      <c r="R56"/>
      <c r="S56" s="34"/>
      <c r="T56" s="12"/>
    </row>
    <row r="57" outlineLevel="1" hidden="0">
      <c r="A57" s="7" t="s">
        <v>15</v>
      </c>
      <c r="B57" t="s">
        <v>78</v>
      </c>
      <c r="C57" s="34" t="n">
        <v>1</v>
      </c>
      <c r="D57" t="n">
        <v>8</v>
      </c>
      <c r="E57" s="34" t="n">
        <v>1</v>
      </c>
      <c r="F57" t="n">
        <v>2</v>
      </c>
      <c r="G57" s="34" t="n">
        <v>0.724796207889965</v>
      </c>
      <c r="H57" t="n">
        <v>2</v>
      </c>
      <c r="I57" s="34" t="n">
        <v>1</v>
      </c>
      <c r="J57" t="n">
        <v>4</v>
      </c>
      <c r="K57" s="34"/>
      <c r="L57"/>
      <c r="M57" s="34"/>
      <c r="N57"/>
      <c r="O57" s="34" t="n">
        <v>1</v>
      </c>
      <c r="P57" t="n">
        <v>4</v>
      </c>
      <c r="Q57" s="34" t="n">
        <v>1</v>
      </c>
      <c r="R57" t="n">
        <v>2</v>
      </c>
      <c r="S57" s="34" t="n">
        <v>0.724796207889965</v>
      </c>
      <c r="T57" s="12" t="n">
        <v>2</v>
      </c>
    </row>
    <row r="58" outlineLevel="1" hidden="0">
      <c r="A58" s="7" t="s">
        <v>15</v>
      </c>
      <c r="B58" t="s">
        <v>81</v>
      </c>
      <c r="C58" s="34" t="n">
        <v>0.860456810338144</v>
      </c>
      <c r="D58" t="n">
        <v>5</v>
      </c>
      <c r="E58" s="34" t="n">
        <v>1</v>
      </c>
      <c r="F58" t="n">
        <v>1</v>
      </c>
      <c r="G58" s="34" t="n">
        <v>1</v>
      </c>
      <c r="H58" t="n">
        <v>1</v>
      </c>
      <c r="I58" s="34" t="n">
        <v>0.630744389467012</v>
      </c>
      <c r="J58" t="n">
        <v>2</v>
      </c>
      <c r="K58" s="34" t="n">
        <v>1</v>
      </c>
      <c r="L58" t="n">
        <v>1</v>
      </c>
      <c r="M58" s="34" t="n">
        <v>1</v>
      </c>
      <c r="N58" t="n">
        <v>1</v>
      </c>
      <c r="O58" s="34" t="n">
        <v>0.913973529482838</v>
      </c>
      <c r="P58" t="n">
        <v>3</v>
      </c>
      <c r="Q58" s="34"/>
      <c r="R58"/>
      <c r="S58" s="34"/>
      <c r="T58" s="12"/>
    </row>
    <row r="59" outlineLevel="1" hidden="0">
      <c r="A59" s="7" t="s">
        <v>15</v>
      </c>
      <c r="B59" t="s">
        <v>82</v>
      </c>
      <c r="C59" s="34" t="n">
        <v>0.539679027040986</v>
      </c>
      <c r="D59" t="n">
        <v>3</v>
      </c>
      <c r="E59" s="34"/>
      <c r="F59"/>
      <c r="G59" s="34"/>
      <c r="H59"/>
      <c r="I59" s="34"/>
      <c r="J59"/>
      <c r="K59" s="34"/>
      <c r="L59"/>
      <c r="M59" s="34"/>
      <c r="N59"/>
      <c r="O59" s="34" t="n">
        <v>0.539679027040986</v>
      </c>
      <c r="P59" t="n">
        <v>3</v>
      </c>
      <c r="Q59" s="34"/>
      <c r="R59"/>
      <c r="S59" s="34"/>
      <c r="T59" s="12"/>
    </row>
    <row r="60" outlineLevel="1" hidden="0">
      <c r="A60" s="7" t="s">
        <v>15</v>
      </c>
      <c r="B60" t="s">
        <v>86</v>
      </c>
      <c r="C60" s="34" t="n">
        <v>0.558985226353837</v>
      </c>
      <c r="D60" t="n">
        <v>12</v>
      </c>
      <c r="E60" s="34"/>
      <c r="F60"/>
      <c r="G60" s="34"/>
      <c r="H60"/>
      <c r="I60" s="34" t="n">
        <v>0.462738396114932</v>
      </c>
      <c r="J60" t="n">
        <v>8</v>
      </c>
      <c r="K60" s="34"/>
      <c r="L60"/>
      <c r="M60" s="34"/>
      <c r="N60"/>
      <c r="O60" s="34" t="n">
        <v>0.846995964201719</v>
      </c>
      <c r="P60" t="n">
        <v>4</v>
      </c>
      <c r="Q60" s="34"/>
      <c r="R60"/>
      <c r="S60" s="34"/>
      <c r="T60" s="12"/>
    </row>
    <row r="61" outlineLevel="1" hidden="0">
      <c r="A61" s="7" t="s">
        <v>15</v>
      </c>
      <c r="B61" t="s">
        <v>87</v>
      </c>
      <c r="C61" s="34" t="n">
        <v>0.711303048028169</v>
      </c>
      <c r="D61" t="n">
        <v>16</v>
      </c>
      <c r="E61" s="34" t="n">
        <v>0.806460288132537</v>
      </c>
      <c r="F61" t="n">
        <v>7</v>
      </c>
      <c r="G61" s="34" t="n">
        <v>0.732973614154387</v>
      </c>
      <c r="H61" t="n">
        <v>7</v>
      </c>
      <c r="I61" s="34" t="n">
        <v>0.658318421574268</v>
      </c>
      <c r="J61" t="n">
        <v>9</v>
      </c>
      <c r="K61" s="34" t="n">
        <v>0.728260094832455</v>
      </c>
      <c r="L61" t="n">
        <v>5</v>
      </c>
      <c r="M61" s="34" t="n">
        <v>0.625080950742502</v>
      </c>
      <c r="N61" t="n">
        <v>5</v>
      </c>
      <c r="O61" s="34" t="n">
        <v>0.769261487958141</v>
      </c>
      <c r="P61" t="n">
        <v>7</v>
      </c>
      <c r="Q61" s="34" t="n">
        <v>1</v>
      </c>
      <c r="R61" t="n">
        <v>2</v>
      </c>
      <c r="S61" s="34" t="n">
        <v>1</v>
      </c>
      <c r="T61" s="12" t="n">
        <v>2</v>
      </c>
    </row>
    <row r="62" outlineLevel="1" hidden="0">
      <c r="A62" s="7" t="s">
        <v>15</v>
      </c>
      <c r="B62" t="s">
        <v>89</v>
      </c>
      <c r="C62" s="34" t="n">
        <v>0.89548322626739</v>
      </c>
      <c r="D62" t="n">
        <v>181</v>
      </c>
      <c r="E62" s="34" t="n">
        <v>0.90742245350252</v>
      </c>
      <c r="F62" t="n">
        <v>49</v>
      </c>
      <c r="G62" s="34" t="n">
        <v>0.680824372486958</v>
      </c>
      <c r="H62" t="n">
        <v>49</v>
      </c>
      <c r="I62" s="34" t="n">
        <v>0.931638094500148</v>
      </c>
      <c r="J62" t="n">
        <v>90</v>
      </c>
      <c r="K62" s="34" t="n">
        <v>0.882278897489698</v>
      </c>
      <c r="L62" t="n">
        <v>27</v>
      </c>
      <c r="M62" s="34" t="n">
        <v>0.709718725550549</v>
      </c>
      <c r="N62" t="n">
        <v>27</v>
      </c>
      <c r="O62" s="34" t="n">
        <v>0.858577461069653</v>
      </c>
      <c r="P62" t="n">
        <v>91</v>
      </c>
      <c r="Q62" s="34" t="n">
        <v>0.94393756206697</v>
      </c>
      <c r="R62" t="n">
        <v>22</v>
      </c>
      <c r="S62" s="34" t="n">
        <v>0.638862112316654</v>
      </c>
      <c r="T62" s="12" t="n">
        <v>22</v>
      </c>
    </row>
    <row r="63" outlineLevel="1" hidden="0">
      <c r="A63" s="7" t="s">
        <v>15</v>
      </c>
      <c r="B63" t="s">
        <v>90</v>
      </c>
      <c r="C63" s="34" t="n">
        <v>0.603354895534955</v>
      </c>
      <c r="D63" t="n">
        <v>12</v>
      </c>
      <c r="E63" s="34" t="n">
        <v>0.658401188101137</v>
      </c>
      <c r="F63" t="n">
        <v>4</v>
      </c>
      <c r="G63" s="34" t="n">
        <v>0.341598811898863</v>
      </c>
      <c r="H63" t="n">
        <v>4</v>
      </c>
      <c r="I63" s="34" t="n">
        <v>0.351068078456515</v>
      </c>
      <c r="J63" t="n">
        <v>6</v>
      </c>
      <c r="K63" s="34" t="n">
        <v>0.481169204927999</v>
      </c>
      <c r="L63" t="n">
        <v>3</v>
      </c>
      <c r="M63" s="34"/>
      <c r="N63"/>
      <c r="O63" s="34" t="n">
        <v>0.887126839834558</v>
      </c>
      <c r="P63" t="n">
        <v>6</v>
      </c>
      <c r="Q63" s="34" t="n">
        <v>1</v>
      </c>
      <c r="R63" t="n">
        <v>1</v>
      </c>
      <c r="S63" s="34" t="n">
        <v>1</v>
      </c>
      <c r="T63" s="12" t="n">
        <v>1</v>
      </c>
    </row>
    <row r="64" outlineLevel="1" hidden="0">
      <c r="A64" s="7" t="s">
        <v>15</v>
      </c>
      <c r="B64" t="s">
        <v>91</v>
      </c>
      <c r="C64" s="34" t="n">
        <v>1</v>
      </c>
      <c r="D64" t="n">
        <v>1</v>
      </c>
      <c r="E64" s="34"/>
      <c r="F64"/>
      <c r="G64" s="34"/>
      <c r="H64"/>
      <c r="I64" s="34" t="n">
        <v>1</v>
      </c>
      <c r="J64" t="n">
        <v>1</v>
      </c>
      <c r="K64" s="34"/>
      <c r="L64"/>
      <c r="M64" s="34"/>
      <c r="N64"/>
      <c r="O64" s="34"/>
      <c r="P64"/>
      <c r="Q64" s="34"/>
      <c r="R64"/>
      <c r="S64" s="34"/>
      <c r="T64" s="12"/>
    </row>
    <row r="65" outlineLevel="1" hidden="0">
      <c r="A65" s="7" t="s">
        <v>15</v>
      </c>
      <c r="B65" t="s">
        <v>95</v>
      </c>
      <c r="C65" s="34" t="n">
        <v>1</v>
      </c>
      <c r="D65" t="n">
        <v>1</v>
      </c>
      <c r="E65" s="34"/>
      <c r="F65"/>
      <c r="G65" s="34"/>
      <c r="H65"/>
      <c r="I65" s="34"/>
      <c r="J65"/>
      <c r="K65" s="34"/>
      <c r="L65"/>
      <c r="M65" s="34"/>
      <c r="N65"/>
      <c r="O65" s="34" t="n">
        <v>1</v>
      </c>
      <c r="P65" t="n">
        <v>1</v>
      </c>
      <c r="Q65" s="34"/>
      <c r="R65"/>
      <c r="S65" s="34"/>
      <c r="T65" s="12"/>
    </row>
    <row r="66" outlineLevel="1" hidden="0">
      <c r="A66" s="7" t="s">
        <v>15</v>
      </c>
      <c r="B66" t="s">
        <v>96</v>
      </c>
      <c r="C66" s="34" t="n">
        <v>0.730574447819403</v>
      </c>
      <c r="D66" t="n">
        <v>28</v>
      </c>
      <c r="E66" s="34" t="n">
        <v>0.938863150686892</v>
      </c>
      <c r="F66" t="n">
        <v>7</v>
      </c>
      <c r="G66" s="34" t="n">
        <v>0.458526733409485</v>
      </c>
      <c r="H66" t="n">
        <v>7</v>
      </c>
      <c r="I66" s="34" t="n">
        <v>0.760522271624399</v>
      </c>
      <c r="J66" t="n">
        <v>13</v>
      </c>
      <c r="K66" s="34" t="n">
        <v>0.860867316217353</v>
      </c>
      <c r="L66" t="n">
        <v>4</v>
      </c>
      <c r="M66" s="34" t="n">
        <v>0.614580314610363</v>
      </c>
      <c r="N66" t="n">
        <v>4</v>
      </c>
      <c r="O66" s="34" t="n">
        <v>0.713084284382425</v>
      </c>
      <c r="P66" t="n">
        <v>15</v>
      </c>
      <c r="Q66" s="34" t="n">
        <v>1</v>
      </c>
      <c r="R66" t="n">
        <v>3</v>
      </c>
      <c r="S66" s="34" t="n">
        <v>0.336204505004135</v>
      </c>
      <c r="T66" s="12" t="n">
        <v>3</v>
      </c>
    </row>
    <row r="67" outlineLevel="1" hidden="0">
      <c r="A67" s="7" t="s">
        <v>15</v>
      </c>
      <c r="B67" t="s">
        <v>104</v>
      </c>
      <c r="C67" s="34" t="n">
        <v>1</v>
      </c>
      <c r="D67" t="n">
        <v>3</v>
      </c>
      <c r="E67" s="34" t="n">
        <v>1</v>
      </c>
      <c r="F67" t="n">
        <v>1</v>
      </c>
      <c r="G67" s="34"/>
      <c r="H67"/>
      <c r="I67" s="34" t="n">
        <v>1</v>
      </c>
      <c r="J67" t="n">
        <v>1</v>
      </c>
      <c r="K67" s="34"/>
      <c r="L67"/>
      <c r="M67" s="34"/>
      <c r="N67"/>
      <c r="O67" s="34" t="n">
        <v>1</v>
      </c>
      <c r="P67" t="n">
        <v>2</v>
      </c>
      <c r="Q67" s="34" t="n">
        <v>1</v>
      </c>
      <c r="R67" t="n">
        <v>1</v>
      </c>
      <c r="S67" s="34"/>
      <c r="T67" s="12"/>
    </row>
    <row r="68" outlineLevel="1" hidden="0">
      <c r="A68" s="7" t="s">
        <v>15</v>
      </c>
      <c r="B68" t="s">
        <v>106</v>
      </c>
      <c r="C68" s="34" t="n">
        <v>0.835925538755223</v>
      </c>
      <c r="D68" t="n">
        <v>6</v>
      </c>
      <c r="E68" s="34" t="n">
        <v>0.534843680923675</v>
      </c>
      <c r="F68" t="n">
        <v>2</v>
      </c>
      <c r="G68" s="34" t="n">
        <v>0.534843680923675</v>
      </c>
      <c r="H68" t="n">
        <v>2</v>
      </c>
      <c r="I68" s="34" t="n">
        <v>0.803169045014545</v>
      </c>
      <c r="J68" t="n">
        <v>3</v>
      </c>
      <c r="K68" s="34"/>
      <c r="L68"/>
      <c r="M68" s="34"/>
      <c r="N68"/>
      <c r="O68" s="34" t="n">
        <v>0.867404747083664</v>
      </c>
      <c r="P68" t="n">
        <v>3</v>
      </c>
      <c r="Q68" s="34" t="n">
        <v>0.534843680923675</v>
      </c>
      <c r="R68" t="n">
        <v>2</v>
      </c>
      <c r="S68" s="34" t="n">
        <v>0.534843680923675</v>
      </c>
      <c r="T68" s="12" t="n">
        <v>2</v>
      </c>
    </row>
    <row r="69" outlineLevel="1" hidden="0">
      <c r="A69" s="7" t="s">
        <v>15</v>
      </c>
      <c r="B69" t="s">
        <v>109</v>
      </c>
      <c r="C69" s="34" t="n">
        <v>0.804245679678898</v>
      </c>
      <c r="D69" t="n">
        <v>127</v>
      </c>
      <c r="E69" s="34" t="n">
        <v>0.857559269918937</v>
      </c>
      <c r="F69" t="n">
        <v>27</v>
      </c>
      <c r="G69" s="34" t="n">
        <v>0.689453014875636</v>
      </c>
      <c r="H69" t="n">
        <v>27</v>
      </c>
      <c r="I69" s="34" t="n">
        <v>0.743316603165911</v>
      </c>
      <c r="J69" t="n">
        <v>58</v>
      </c>
      <c r="K69" s="34" t="n">
        <v>0.835338254548843</v>
      </c>
      <c r="L69" t="n">
        <v>14</v>
      </c>
      <c r="M69" s="34" t="n">
        <v>0.695701736278384</v>
      </c>
      <c r="N69" t="n">
        <v>14</v>
      </c>
      <c r="O69" s="34" t="n">
        <v>0.853849839177144</v>
      </c>
      <c r="P69" t="n">
        <v>69</v>
      </c>
      <c r="Q69" s="34" t="n">
        <v>0.880026337132277</v>
      </c>
      <c r="R69" t="n">
        <v>13</v>
      </c>
      <c r="S69" s="34" t="n">
        <v>0.683135101791344</v>
      </c>
      <c r="T69" s="12" t="n">
        <v>13</v>
      </c>
    </row>
    <row r="70" outlineLevel="1" hidden="0">
      <c r="A70" s="7" t="s">
        <v>15</v>
      </c>
      <c r="B70" t="s">
        <v>110</v>
      </c>
      <c r="C70" s="34" t="n">
        <v>0.852001957297751</v>
      </c>
      <c r="D70" t="n">
        <v>10</v>
      </c>
      <c r="E70" s="34" t="n">
        <v>1</v>
      </c>
      <c r="F70" t="n">
        <v>2</v>
      </c>
      <c r="G70" s="34" t="n">
        <v>0.778926931863862</v>
      </c>
      <c r="H70" t="n">
        <v>2</v>
      </c>
      <c r="I70" s="34" t="n">
        <v>0.563029229636486</v>
      </c>
      <c r="J70" t="n">
        <v>6</v>
      </c>
      <c r="K70" s="34"/>
      <c r="L70"/>
      <c r="M70" s="34"/>
      <c r="N70"/>
      <c r="O70" s="34" t="n">
        <v>1</v>
      </c>
      <c r="P70" t="n">
        <v>4</v>
      </c>
      <c r="Q70" s="34" t="n">
        <v>1</v>
      </c>
      <c r="R70" t="n">
        <v>2</v>
      </c>
      <c r="S70" s="34" t="n">
        <v>0.778926931863862</v>
      </c>
      <c r="T70" s="12" t="n">
        <v>2</v>
      </c>
    </row>
    <row r="71" outlineLevel="1" hidden="0">
      <c r="A71" s="7" t="s">
        <v>15</v>
      </c>
      <c r="B71" t="s">
        <v>112</v>
      </c>
      <c r="C71" s="34" t="n">
        <v>1</v>
      </c>
      <c r="D71" t="n">
        <v>1</v>
      </c>
      <c r="E71" s="34" t="n">
        <v>1</v>
      </c>
      <c r="F71" t="n">
        <v>1</v>
      </c>
      <c r="G71" s="34" t="n">
        <v>1</v>
      </c>
      <c r="H71" t="n">
        <v>1</v>
      </c>
      <c r="I71" s="34"/>
      <c r="J71"/>
      <c r="K71" s="34"/>
      <c r="L71"/>
      <c r="M71" s="34"/>
      <c r="N71"/>
      <c r="O71" s="34" t="n">
        <v>1</v>
      </c>
      <c r="P71" t="n">
        <v>1</v>
      </c>
      <c r="Q71" s="34" t="n">
        <v>1</v>
      </c>
      <c r="R71" t="n">
        <v>1</v>
      </c>
      <c r="S71" s="34" t="n">
        <v>1</v>
      </c>
      <c r="T71" s="12" t="n">
        <v>1</v>
      </c>
    </row>
    <row r="72" outlineLevel="1" hidden="0">
      <c r="A72" s="7" t="s">
        <v>15</v>
      </c>
      <c r="B72" t="s">
        <v>113</v>
      </c>
      <c r="C72" s="34" t="n">
        <v>0.780892273264093</v>
      </c>
      <c r="D72" t="n">
        <v>3</v>
      </c>
      <c r="E72" s="34" t="n">
        <v>1</v>
      </c>
      <c r="F72" t="n">
        <v>2</v>
      </c>
      <c r="G72" s="34" t="n">
        <v>0.719413632023728</v>
      </c>
      <c r="H72" t="n">
        <v>2</v>
      </c>
      <c r="I72" s="34" t="n">
        <v>1</v>
      </c>
      <c r="J72" t="n">
        <v>1</v>
      </c>
      <c r="K72" s="34" t="n">
        <v>1</v>
      </c>
      <c r="L72" t="n">
        <v>1</v>
      </c>
      <c r="M72" s="34"/>
      <c r="N72"/>
      <c r="O72" s="34" t="n">
        <v>0.719413632023728</v>
      </c>
      <c r="P72" t="n">
        <v>2</v>
      </c>
      <c r="Q72" s="34" t="n">
        <v>1</v>
      </c>
      <c r="R72" t="n">
        <v>1</v>
      </c>
      <c r="S72" s="34" t="n">
        <v>1</v>
      </c>
      <c r="T72" s="12" t="n">
        <v>1</v>
      </c>
    </row>
    <row r="73" outlineLevel="1" hidden="0">
      <c r="A73" s="7" t="s">
        <v>15</v>
      </c>
      <c r="B73" t="s">
        <v>114</v>
      </c>
      <c r="C73" s="34" t="n">
        <v>0.835433891851897</v>
      </c>
      <c r="D73" t="n">
        <v>9</v>
      </c>
      <c r="E73" s="34" t="n">
        <v>1</v>
      </c>
      <c r="F73" t="n">
        <v>2</v>
      </c>
      <c r="G73" s="34" t="n">
        <v>1</v>
      </c>
      <c r="H73" t="n">
        <v>2</v>
      </c>
      <c r="I73" s="34" t="n">
        <v>1</v>
      </c>
      <c r="J73" t="n">
        <v>2</v>
      </c>
      <c r="K73" s="34"/>
      <c r="L73"/>
      <c r="M73" s="34"/>
      <c r="N73"/>
      <c r="O73" s="34" t="n">
        <v>0.768252074375805</v>
      </c>
      <c r="P73" t="n">
        <v>7</v>
      </c>
      <c r="Q73" s="34" t="n">
        <v>1</v>
      </c>
      <c r="R73" t="n">
        <v>2</v>
      </c>
      <c r="S73" s="34" t="n">
        <v>1</v>
      </c>
      <c r="T73" s="12" t="n">
        <v>2</v>
      </c>
    </row>
    <row r="74" outlineLevel="1" hidden="0">
      <c r="A74" s="7" t="s">
        <v>15</v>
      </c>
      <c r="B74" t="s">
        <v>116</v>
      </c>
      <c r="C74" s="34" t="n">
        <v>1</v>
      </c>
      <c r="D74" t="n">
        <v>1</v>
      </c>
      <c r="E74" s="34"/>
      <c r="F74"/>
      <c r="G74" s="34"/>
      <c r="H74"/>
      <c r="I74" s="34"/>
      <c r="J74"/>
      <c r="K74" s="34"/>
      <c r="L74"/>
      <c r="M74" s="34"/>
      <c r="N74"/>
      <c r="O74" s="34" t="n">
        <v>1</v>
      </c>
      <c r="P74" t="n">
        <v>1</v>
      </c>
      <c r="Q74" s="34"/>
      <c r="R74"/>
      <c r="S74" s="34"/>
      <c r="T74" s="12"/>
    </row>
    <row r="75" outlineLevel="1" hidden="0">
      <c r="A75" s="7" t="s">
        <v>15</v>
      </c>
      <c r="B75" t="s">
        <v>119</v>
      </c>
      <c r="C75" s="34" t="n">
        <v>0.729127942686987</v>
      </c>
      <c r="D75" t="n">
        <v>14</v>
      </c>
      <c r="E75" s="34" t="n">
        <v>0.785218159073343</v>
      </c>
      <c r="F75" t="n">
        <v>4</v>
      </c>
      <c r="G75" s="34" t="n">
        <v>0.453561477852159</v>
      </c>
      <c r="H75" t="n">
        <v>4</v>
      </c>
      <c r="I75" s="34" t="n">
        <v>0.846564900529077</v>
      </c>
      <c r="J75" t="n">
        <v>8</v>
      </c>
      <c r="K75" s="34" t="n">
        <v>1</v>
      </c>
      <c r="L75" t="n">
        <v>2</v>
      </c>
      <c r="M75" s="34" t="n">
        <v>0.828171478800497</v>
      </c>
      <c r="N75" t="n">
        <v>2</v>
      </c>
      <c r="O75" s="34" t="n">
        <v>0.585802138149842</v>
      </c>
      <c r="P75" t="n">
        <v>6</v>
      </c>
      <c r="Q75" s="34" t="n">
        <v>0.52516965812599</v>
      </c>
      <c r="R75" t="n">
        <v>2</v>
      </c>
      <c r="S75" s="34"/>
      <c r="T75" s="12"/>
    </row>
    <row r="76" outlineLevel="1" hidden="0">
      <c r="A76" s="7" t="s">
        <v>15</v>
      </c>
      <c r="B76" t="s">
        <v>121</v>
      </c>
      <c r="C76" s="34" t="n">
        <v>0.741795036080855</v>
      </c>
      <c r="D76" t="n">
        <v>8</v>
      </c>
      <c r="E76" s="34" t="n">
        <v>0.502042723659229</v>
      </c>
      <c r="F76" t="n">
        <v>3</v>
      </c>
      <c r="G76" s="34" t="n">
        <v>0.109413569613111</v>
      </c>
      <c r="H76" t="n">
        <v>3</v>
      </c>
      <c r="I76" s="34" t="n">
        <v>0.536434179559412</v>
      </c>
      <c r="J76" t="n">
        <v>4</v>
      </c>
      <c r="K76" s="34"/>
      <c r="L76"/>
      <c r="M76" s="34"/>
      <c r="N76"/>
      <c r="O76" s="34" t="n">
        <v>1</v>
      </c>
      <c r="P76" t="n">
        <v>4</v>
      </c>
      <c r="Q76" s="34" t="n">
        <v>1</v>
      </c>
      <c r="R76" t="n">
        <v>2</v>
      </c>
      <c r="S76" s="34" t="n">
        <v>0.217936770033495</v>
      </c>
      <c r="T76" s="12" t="n">
        <v>2</v>
      </c>
    </row>
    <row r="77" outlineLevel="1" hidden="0">
      <c r="A77" s="7" t="s">
        <v>15</v>
      </c>
      <c r="B77" t="s">
        <v>122</v>
      </c>
      <c r="C77" s="34" t="n">
        <v>0.895395859872155</v>
      </c>
      <c r="D77" t="n">
        <v>17</v>
      </c>
      <c r="E77" s="34" t="n">
        <v>0.743711198667572</v>
      </c>
      <c r="F77" t="n">
        <v>9</v>
      </c>
      <c r="G77" s="34" t="n">
        <v>0.525108836010105</v>
      </c>
      <c r="H77" t="n">
        <v>9</v>
      </c>
      <c r="I77" s="34" t="n">
        <v>0.860904323209456</v>
      </c>
      <c r="J77" t="n">
        <v>10</v>
      </c>
      <c r="K77" s="34" t="n">
        <v>0.693880370283473</v>
      </c>
      <c r="L77" t="n">
        <v>5</v>
      </c>
      <c r="M77" s="34" t="n">
        <v>0.387760740566946</v>
      </c>
      <c r="N77" t="n">
        <v>5</v>
      </c>
      <c r="O77" s="34" t="n">
        <v>0.957100678919015</v>
      </c>
      <c r="P77" t="n">
        <v>7</v>
      </c>
      <c r="Q77" s="34" t="n">
        <v>0.868179628544293</v>
      </c>
      <c r="R77" t="n">
        <v>4</v>
      </c>
      <c r="S77" s="34" t="n">
        <v>0.868179628544293</v>
      </c>
      <c r="T77" s="12" t="n">
        <v>4</v>
      </c>
    </row>
    <row r="78" outlineLevel="1" hidden="0">
      <c r="A78" s="7" t="s">
        <v>15</v>
      </c>
      <c r="B78" t="s">
        <v>128</v>
      </c>
      <c r="C78" s="34" t="n">
        <v>1</v>
      </c>
      <c r="D78" t="n">
        <v>3</v>
      </c>
      <c r="E78" s="34"/>
      <c r="F78"/>
      <c r="G78" s="34"/>
      <c r="H78"/>
      <c r="I78" s="34" t="n">
        <v>1</v>
      </c>
      <c r="J78" t="n">
        <v>2</v>
      </c>
      <c r="K78" s="34"/>
      <c r="L78"/>
      <c r="M78" s="34"/>
      <c r="N78"/>
      <c r="O78" s="34" t="n">
        <v>1</v>
      </c>
      <c r="P78" t="n">
        <v>1</v>
      </c>
      <c r="Q78" s="34"/>
      <c r="R78"/>
      <c r="S78" s="34"/>
      <c r="T78" s="12"/>
    </row>
    <row r="79" outlineLevel="1" hidden="0">
      <c r="A79" s="7" t="s">
        <v>15</v>
      </c>
      <c r="B79" t="s">
        <v>130</v>
      </c>
      <c r="C79" s="34" t="n">
        <v>0.944023296407499</v>
      </c>
      <c r="D79" t="n">
        <v>36</v>
      </c>
      <c r="E79" s="34" t="n">
        <v>0.740437157857989</v>
      </c>
      <c r="F79" t="n">
        <v>5</v>
      </c>
      <c r="G79" s="34" t="n">
        <v>0.480874315715978</v>
      </c>
      <c r="H79" t="n">
        <v>5</v>
      </c>
      <c r="I79" s="34" t="n">
        <v>0.874944109413195</v>
      </c>
      <c r="J79" t="n">
        <v>19</v>
      </c>
      <c r="K79" s="34" t="n">
        <v>0.649446493348739</v>
      </c>
      <c r="L79" t="n">
        <v>4</v>
      </c>
      <c r="M79" s="34" t="n">
        <v>0.298892986697479</v>
      </c>
      <c r="N79" t="n">
        <v>4</v>
      </c>
      <c r="O79" s="34" t="n">
        <v>0.992445964952129</v>
      </c>
      <c r="P79" t="n">
        <v>17</v>
      </c>
      <c r="Q79" s="34" t="n">
        <v>1</v>
      </c>
      <c r="R79" t="n">
        <v>1</v>
      </c>
      <c r="S79" s="34" t="n">
        <v>1</v>
      </c>
      <c r="T79" s="12" t="n">
        <v>1</v>
      </c>
    </row>
    <row r="80" outlineLevel="1" hidden="0">
      <c r="A80" s="7" t="s">
        <v>15</v>
      </c>
      <c r="B80" t="s">
        <v>135</v>
      </c>
      <c r="C80" s="34" t="n">
        <v>1</v>
      </c>
      <c r="D80" t="n">
        <v>5</v>
      </c>
      <c r="E80" s="34" t="n">
        <v>1</v>
      </c>
      <c r="F80" t="n">
        <v>2</v>
      </c>
      <c r="G80" s="34" t="n">
        <v>1</v>
      </c>
      <c r="H80" t="n">
        <v>2</v>
      </c>
      <c r="I80" s="34" t="n">
        <v>1</v>
      </c>
      <c r="J80" t="n">
        <v>4</v>
      </c>
      <c r="K80" s="34" t="n">
        <v>1</v>
      </c>
      <c r="L80" t="n">
        <v>2</v>
      </c>
      <c r="M80" s="34" t="n">
        <v>1</v>
      </c>
      <c r="N80" t="n">
        <v>2</v>
      </c>
      <c r="O80" s="34" t="n">
        <v>1</v>
      </c>
      <c r="P80" t="n">
        <v>1</v>
      </c>
      <c r="Q80" s="34"/>
      <c r="R80"/>
      <c r="S80" s="34"/>
      <c r="T80" s="12"/>
    </row>
    <row r="81" outlineLevel="1" hidden="0">
      <c r="A81" s="7" t="s">
        <v>15</v>
      </c>
      <c r="B81" t="s">
        <v>137</v>
      </c>
      <c r="C81" s="34" t="n">
        <v>1</v>
      </c>
      <c r="D81" t="n">
        <v>1</v>
      </c>
      <c r="E81" s="34" t="n">
        <v>1</v>
      </c>
      <c r="F81" t="n">
        <v>1</v>
      </c>
      <c r="G81" s="34"/>
      <c r="H81"/>
      <c r="I81" s="34"/>
      <c r="J81"/>
      <c r="K81" s="34"/>
      <c r="L81"/>
      <c r="M81" s="34"/>
      <c r="N81"/>
      <c r="O81" s="34" t="n">
        <v>1</v>
      </c>
      <c r="P81" t="n">
        <v>1</v>
      </c>
      <c r="Q81" s="34" t="n">
        <v>1</v>
      </c>
      <c r="R81" t="n">
        <v>1</v>
      </c>
      <c r="S81" s="34"/>
      <c r="T81" s="12"/>
    </row>
    <row r="82" outlineLevel="1" hidden="0">
      <c r="A82" s="7" t="s">
        <v>15</v>
      </c>
      <c r="B82" t="s">
        <v>145</v>
      </c>
      <c r="C82" s="34" t="n">
        <v>0.822529228435921</v>
      </c>
      <c r="D82" t="n">
        <v>38</v>
      </c>
      <c r="E82" s="34" t="n">
        <v>1</v>
      </c>
      <c r="F82" t="n">
        <v>9</v>
      </c>
      <c r="G82" s="34" t="n">
        <v>0.772876409388159</v>
      </c>
      <c r="H82" t="n">
        <v>9</v>
      </c>
      <c r="I82" s="34" t="n">
        <v>0.8676904501562</v>
      </c>
      <c r="J82" t="n">
        <v>23</v>
      </c>
      <c r="K82" s="34" t="n">
        <v>1</v>
      </c>
      <c r="L82" t="n">
        <v>7</v>
      </c>
      <c r="M82" s="34" t="n">
        <v>0.709314771774031</v>
      </c>
      <c r="N82" t="n">
        <v>7</v>
      </c>
      <c r="O82" s="34" t="n">
        <v>0.74441279497443</v>
      </c>
      <c r="P82" t="n">
        <v>15</v>
      </c>
      <c r="Q82" s="34" t="n">
        <v>1</v>
      </c>
      <c r="R82" t="n">
        <v>2</v>
      </c>
      <c r="S82" s="34" t="n">
        <v>1</v>
      </c>
      <c r="T82" s="12" t="n">
        <v>2</v>
      </c>
    </row>
    <row r="83" outlineLevel="1" hidden="0">
      <c r="A83" s="7" t="s">
        <v>15</v>
      </c>
      <c r="B83" t="s">
        <v>149</v>
      </c>
      <c r="C83" s="34" t="n">
        <v>0.860488267178734</v>
      </c>
      <c r="D83" t="n">
        <v>2</v>
      </c>
      <c r="E83" s="34"/>
      <c r="F83"/>
      <c r="G83" s="34"/>
      <c r="H83"/>
      <c r="I83" s="34" t="n">
        <v>0.860488267178734</v>
      </c>
      <c r="J83" t="n">
        <v>2</v>
      </c>
      <c r="K83" s="34"/>
      <c r="L83"/>
      <c r="M83" s="34"/>
      <c r="N83"/>
      <c r="O83" s="34"/>
      <c r="P83"/>
      <c r="Q83" s="34"/>
      <c r="R83"/>
      <c r="S83" s="34"/>
      <c r="T83" s="12"/>
    </row>
    <row r="84" outlineLevel="1" hidden="0">
      <c r="A84" s="7" t="s">
        <v>15</v>
      </c>
      <c r="B84" t="s">
        <v>150</v>
      </c>
      <c r="C84" s="34" t="n">
        <v>1</v>
      </c>
      <c r="D84" t="n">
        <v>1</v>
      </c>
      <c r="E84" s="34"/>
      <c r="F84"/>
      <c r="G84" s="34"/>
      <c r="H84"/>
      <c r="I84" s="34"/>
      <c r="J84"/>
      <c r="K84" s="34"/>
      <c r="L84"/>
      <c r="M84" s="34"/>
      <c r="N84"/>
      <c r="O84" s="34" t="n">
        <v>1</v>
      </c>
      <c r="P84" t="n">
        <v>1</v>
      </c>
      <c r="Q84" s="34"/>
      <c r="R84"/>
      <c r="S84" s="34"/>
      <c r="T84" s="12"/>
    </row>
    <row r="85" outlineLevel="1" hidden="0">
      <c r="A85" s="7" t="s">
        <v>15</v>
      </c>
      <c r="B85" t="s">
        <v>151</v>
      </c>
      <c r="C85" s="34" t="n">
        <v>1</v>
      </c>
      <c r="D85" t="n">
        <v>2</v>
      </c>
      <c r="E85" s="34"/>
      <c r="F85"/>
      <c r="G85" s="34"/>
      <c r="H85"/>
      <c r="I85" s="34" t="n">
        <v>1</v>
      </c>
      <c r="J85" t="n">
        <v>1</v>
      </c>
      <c r="K85" s="34"/>
      <c r="L85"/>
      <c r="M85" s="34"/>
      <c r="N85"/>
      <c r="O85" s="34" t="n">
        <v>1</v>
      </c>
      <c r="P85" t="n">
        <v>1</v>
      </c>
      <c r="Q85" s="34"/>
      <c r="R85"/>
      <c r="S85" s="34"/>
      <c r="T85" s="12"/>
    </row>
    <row r="86" outlineLevel="1" hidden="0">
      <c r="A86" s="7" t="s">
        <v>15</v>
      </c>
      <c r="B86" t="s">
        <v>68</v>
      </c>
      <c r="C86" s="34" t="n">
        <v>1</v>
      </c>
      <c r="D86" t="n">
        <v>1</v>
      </c>
      <c r="E86" s="34" t="n">
        <v>1</v>
      </c>
      <c r="F86" t="n">
        <v>1</v>
      </c>
      <c r="G86" s="34" t="n">
        <v>1</v>
      </c>
      <c r="H86" t="n">
        <v>1</v>
      </c>
      <c r="I86" s="34"/>
      <c r="J86"/>
      <c r="K86" s="34"/>
      <c r="L86"/>
      <c r="M86" s="34"/>
      <c r="N86"/>
      <c r="O86" s="34" t="n">
        <v>1</v>
      </c>
      <c r="P86" t="n">
        <v>1</v>
      </c>
      <c r="Q86" s="34" t="n">
        <v>1</v>
      </c>
      <c r="R86" t="n">
        <v>1</v>
      </c>
      <c r="S86" s="34" t="n">
        <v>1</v>
      </c>
      <c r="T86" s="12" t="n">
        <v>1</v>
      </c>
    </row>
    <row r="87" outlineLevel="1" hidden="0">
      <c r="A87" s="7" t="s">
        <v>15</v>
      </c>
      <c r="B87" t="s">
        <v>70</v>
      </c>
      <c r="C87" s="34" t="n">
        <v>1</v>
      </c>
      <c r="D87" t="n">
        <v>1</v>
      </c>
      <c r="E87" s="34" t="n">
        <v>1</v>
      </c>
      <c r="F87" t="n">
        <v>1</v>
      </c>
      <c r="G87" s="34" t="n">
        <v>1</v>
      </c>
      <c r="H87" t="n">
        <v>1</v>
      </c>
      <c r="I87" s="34"/>
      <c r="J87"/>
      <c r="K87" s="34"/>
      <c r="L87"/>
      <c r="M87" s="34"/>
      <c r="N87"/>
      <c r="O87" s="34" t="n">
        <v>1</v>
      </c>
      <c r="P87" t="n">
        <v>1</v>
      </c>
      <c r="Q87" s="34" t="n">
        <v>1</v>
      </c>
      <c r="R87" t="n">
        <v>1</v>
      </c>
      <c r="S87" s="34" t="n">
        <v>1</v>
      </c>
      <c r="T87" s="12" t="n">
        <v>1</v>
      </c>
    </row>
    <row r="88" outlineLevel="1" hidden="0">
      <c r="A88" s="7" t="s">
        <v>15</v>
      </c>
      <c r="B88" t="s">
        <v>83</v>
      </c>
      <c r="C88" s="34" t="n">
        <v>1</v>
      </c>
      <c r="D88" t="n">
        <v>1</v>
      </c>
      <c r="E88" s="34" t="n">
        <v>1</v>
      </c>
      <c r="F88" t="n">
        <v>1</v>
      </c>
      <c r="G88" s="34"/>
      <c r="H88"/>
      <c r="I88" s="34"/>
      <c r="J88"/>
      <c r="K88" s="34"/>
      <c r="L88"/>
      <c r="M88" s="34"/>
      <c r="N88"/>
      <c r="O88" s="34" t="n">
        <v>1</v>
      </c>
      <c r="P88" t="n">
        <v>1</v>
      </c>
      <c r="Q88" s="34" t="n">
        <v>1</v>
      </c>
      <c r="R88" t="n">
        <v>1</v>
      </c>
      <c r="S88" s="34"/>
      <c r="T88" s="12"/>
    </row>
    <row r="89" outlineLevel="1" hidden="0">
      <c r="A89" s="7" t="s">
        <v>15</v>
      </c>
      <c r="B89" t="s">
        <v>100</v>
      </c>
      <c r="C89" s="34" t="n">
        <v>1</v>
      </c>
      <c r="D89" t="n">
        <v>5</v>
      </c>
      <c r="E89" s="34" t="n">
        <v>1</v>
      </c>
      <c r="F89" t="n">
        <v>3</v>
      </c>
      <c r="G89" s="34" t="n">
        <v>1</v>
      </c>
      <c r="H89" t="n">
        <v>3</v>
      </c>
      <c r="I89" s="34" t="n">
        <v>1</v>
      </c>
      <c r="J89" t="n">
        <v>1</v>
      </c>
      <c r="K89" s="34" t="n">
        <v>1</v>
      </c>
      <c r="L89" t="n">
        <v>1</v>
      </c>
      <c r="M89" s="34" t="n">
        <v>1</v>
      </c>
      <c r="N89" t="n">
        <v>1</v>
      </c>
      <c r="O89" s="34" t="n">
        <v>1</v>
      </c>
      <c r="P89" t="n">
        <v>4</v>
      </c>
      <c r="Q89" s="34" t="n">
        <v>1</v>
      </c>
      <c r="R89" t="n">
        <v>2</v>
      </c>
      <c r="S89" s="34" t="n">
        <v>1</v>
      </c>
      <c r="T89" s="12" t="n">
        <v>2</v>
      </c>
    </row>
    <row r="90" outlineLevel="1" hidden="0">
      <c r="A90" s="7" t="s">
        <v>15</v>
      </c>
      <c r="B90" t="s">
        <v>111</v>
      </c>
      <c r="C90" s="34" t="n">
        <v>1</v>
      </c>
      <c r="D90" t="n">
        <v>1</v>
      </c>
      <c r="E90" s="34" t="n">
        <v>1</v>
      </c>
      <c r="F90" t="n">
        <v>1</v>
      </c>
      <c r="G90" s="34" t="n">
        <v>1</v>
      </c>
      <c r="H90" t="n">
        <v>1</v>
      </c>
      <c r="I90" s="34" t="n">
        <v>1</v>
      </c>
      <c r="J90" t="n">
        <v>1</v>
      </c>
      <c r="K90" s="34" t="n">
        <v>1</v>
      </c>
      <c r="L90" t="n">
        <v>1</v>
      </c>
      <c r="M90" s="34" t="n">
        <v>1</v>
      </c>
      <c r="N90" t="n">
        <v>1</v>
      </c>
      <c r="O90" s="34"/>
      <c r="P90"/>
      <c r="Q90" s="34"/>
      <c r="R90"/>
      <c r="S90" s="34"/>
      <c r="T90" s="12"/>
    </row>
    <row r="91" outlineLevel="1" hidden="0">
      <c r="A91" s="7" t="s">
        <v>15</v>
      </c>
      <c r="B91" t="s">
        <v>120</v>
      </c>
      <c r="C91" s="34" t="n">
        <v>1</v>
      </c>
      <c r="D91" t="n">
        <v>2</v>
      </c>
      <c r="E91" s="34" t="n">
        <v>1</v>
      </c>
      <c r="F91" t="n">
        <v>1</v>
      </c>
      <c r="G91" s="34" t="n">
        <v>1</v>
      </c>
      <c r="H91" t="n">
        <v>1</v>
      </c>
      <c r="I91" s="34" t="n">
        <v>1</v>
      </c>
      <c r="J91" t="n">
        <v>1</v>
      </c>
      <c r="K91" s="34" t="n">
        <v>1</v>
      </c>
      <c r="L91" t="n">
        <v>1</v>
      </c>
      <c r="M91" s="34" t="n">
        <v>1</v>
      </c>
      <c r="N91" t="n">
        <v>1</v>
      </c>
      <c r="O91" s="34" t="n">
        <v>1</v>
      </c>
      <c r="P91" t="n">
        <v>1</v>
      </c>
      <c r="Q91" s="34"/>
      <c r="R91"/>
      <c r="S91" s="34"/>
      <c r="T91" s="12"/>
    </row>
    <row r="92" outlineLevel="1" hidden="0">
      <c r="A92" s="7" t="s">
        <v>15</v>
      </c>
      <c r="B92" t="s">
        <v>124</v>
      </c>
      <c r="C92" s="34" t="n">
        <v>1</v>
      </c>
      <c r="D92" t="n">
        <v>1</v>
      </c>
      <c r="E92" s="34" t="n">
        <v>1</v>
      </c>
      <c r="F92" t="n">
        <v>1</v>
      </c>
      <c r="G92" s="34" t="n">
        <v>1</v>
      </c>
      <c r="H92" t="n">
        <v>1</v>
      </c>
      <c r="I92" s="34" t="n">
        <v>1</v>
      </c>
      <c r="J92" t="n">
        <v>1</v>
      </c>
      <c r="K92" s="34" t="n">
        <v>1</v>
      </c>
      <c r="L92" t="n">
        <v>1</v>
      </c>
      <c r="M92" s="34" t="n">
        <v>1</v>
      </c>
      <c r="N92" t="n">
        <v>1</v>
      </c>
      <c r="O92" s="34"/>
      <c r="P92"/>
      <c r="Q92" s="34"/>
      <c r="R92"/>
      <c r="S92" s="34"/>
      <c r="T92" s="12"/>
    </row>
    <row r="93" outlineLevel="1" hidden="0">
      <c r="A93" s="7" t="s">
        <v>15</v>
      </c>
      <c r="B93" t="s">
        <v>139</v>
      </c>
      <c r="C93" s="34" t="n">
        <v>1</v>
      </c>
      <c r="D93" t="n">
        <v>1</v>
      </c>
      <c r="E93" s="34" t="n">
        <v>1</v>
      </c>
      <c r="F93" t="n">
        <v>1</v>
      </c>
      <c r="G93" s="34" t="n">
        <v>1</v>
      </c>
      <c r="H93" t="n">
        <v>1</v>
      </c>
      <c r="I93" s="34"/>
      <c r="J93"/>
      <c r="K93" s="34"/>
      <c r="L93"/>
      <c r="M93" s="34"/>
      <c r="N93"/>
      <c r="O93" s="34" t="n">
        <v>1</v>
      </c>
      <c r="P93" t="n">
        <v>1</v>
      </c>
      <c r="Q93" s="34" t="n">
        <v>1</v>
      </c>
      <c r="R93" t="n">
        <v>1</v>
      </c>
      <c r="S93" s="34" t="n">
        <v>1</v>
      </c>
      <c r="T93" s="12" t="n">
        <v>1</v>
      </c>
    </row>
    <row r="94" outlineLevel="1" hidden="0">
      <c r="A94" s="7" t="s">
        <v>15</v>
      </c>
      <c r="B94" t="s">
        <v>140</v>
      </c>
      <c r="C94" s="34" t="n">
        <v>1</v>
      </c>
      <c r="D94" t="n">
        <v>1</v>
      </c>
      <c r="E94" s="34" t="n">
        <v>1</v>
      </c>
      <c r="F94" t="n">
        <v>1</v>
      </c>
      <c r="G94" s="34" t="n">
        <v>1</v>
      </c>
      <c r="H94" t="n">
        <v>1</v>
      </c>
      <c r="I94" s="34" t="n">
        <v>1</v>
      </c>
      <c r="J94" t="n">
        <v>1</v>
      </c>
      <c r="K94" s="34" t="n">
        <v>1</v>
      </c>
      <c r="L94" t="n">
        <v>1</v>
      </c>
      <c r="M94" s="34" t="n">
        <v>1</v>
      </c>
      <c r="N94" t="n">
        <v>1</v>
      </c>
      <c r="O94" s="34"/>
      <c r="P94"/>
      <c r="Q94" s="34"/>
      <c r="R94"/>
      <c r="S94" s="34"/>
      <c r="T94" s="12"/>
    </row>
    <row r="95" outlineLevel="1" hidden="0">
      <c r="A95" s="7" t="s">
        <v>15</v>
      </c>
      <c r="B95" t="s">
        <v>142</v>
      </c>
      <c r="C95" s="34" t="n">
        <v>1</v>
      </c>
      <c r="D95" t="n">
        <v>1</v>
      </c>
      <c r="E95" s="34" t="n">
        <v>1</v>
      </c>
      <c r="F95" t="n">
        <v>1</v>
      </c>
      <c r="G95" s="34"/>
      <c r="H95"/>
      <c r="I95" s="34"/>
      <c r="J95"/>
      <c r="K95" s="34"/>
      <c r="L95"/>
      <c r="M95" s="34"/>
      <c r="N95"/>
      <c r="O95" s="34" t="n">
        <v>1</v>
      </c>
      <c r="P95" t="n">
        <v>1</v>
      </c>
      <c r="Q95" s="34" t="n">
        <v>1</v>
      </c>
      <c r="R95" t="n">
        <v>1</v>
      </c>
      <c r="S95" s="34"/>
      <c r="T95" s="12"/>
    </row>
    <row r="96" outlineLevel="1" hidden="0">
      <c r="A96" s="7" t="s">
        <v>15</v>
      </c>
      <c r="B96" t="s">
        <v>65</v>
      </c>
      <c r="C96" s="34" t="n">
        <v>1</v>
      </c>
      <c r="D96" t="n">
        <v>1</v>
      </c>
      <c r="E96" s="34"/>
      <c r="F96"/>
      <c r="G96" s="34"/>
      <c r="H96"/>
      <c r="I96" s="34"/>
      <c r="J96"/>
      <c r="K96" s="34"/>
      <c r="L96"/>
      <c r="M96" s="34"/>
      <c r="N96"/>
      <c r="O96" s="34" t="n">
        <v>1</v>
      </c>
      <c r="P96" t="n">
        <v>1</v>
      </c>
      <c r="Q96" s="34"/>
      <c r="R96"/>
      <c r="S96" s="34"/>
      <c r="T96" s="12"/>
    </row>
    <row r="97" outlineLevel="1" hidden="0">
      <c r="A97" s="7" t="s">
        <v>15</v>
      </c>
      <c r="B97" t="s">
        <v>84</v>
      </c>
      <c r="C97" s="34" t="n">
        <v>1</v>
      </c>
      <c r="D97" t="n">
        <v>1</v>
      </c>
      <c r="E97" s="34"/>
      <c r="F97"/>
      <c r="G97" s="34"/>
      <c r="H97"/>
      <c r="I97" s="34" t="n">
        <v>1</v>
      </c>
      <c r="J97" t="n">
        <v>1</v>
      </c>
      <c r="K97" s="34"/>
      <c r="L97"/>
      <c r="M97" s="34"/>
      <c r="N97"/>
      <c r="O97" s="34"/>
      <c r="P97"/>
      <c r="Q97" s="34"/>
      <c r="R97"/>
      <c r="S97" s="34"/>
      <c r="T97" s="12"/>
    </row>
    <row r="98" outlineLevel="1" hidden="0">
      <c r="A98" s="7" t="s">
        <v>15</v>
      </c>
      <c r="B98" t="s">
        <v>88</v>
      </c>
      <c r="C98" s="34" t="n">
        <v>1</v>
      </c>
      <c r="D98" t="n">
        <v>1</v>
      </c>
      <c r="E98" s="34"/>
      <c r="F98"/>
      <c r="G98" s="34"/>
      <c r="H98"/>
      <c r="I98" s="34" t="n">
        <v>1</v>
      </c>
      <c r="J98" t="n">
        <v>1</v>
      </c>
      <c r="K98" s="34"/>
      <c r="L98"/>
      <c r="M98" s="34"/>
      <c r="N98"/>
      <c r="O98" s="34"/>
      <c r="P98"/>
      <c r="Q98" s="34"/>
      <c r="R98"/>
      <c r="S98" s="34"/>
      <c r="T98" s="12"/>
    </row>
    <row r="99" outlineLevel="1" hidden="0">
      <c r="A99" s="7" t="s">
        <v>15</v>
      </c>
      <c r="B99" t="s">
        <v>92</v>
      </c>
      <c r="C99" s="34" t="n">
        <v>1</v>
      </c>
      <c r="D99" t="n">
        <v>1</v>
      </c>
      <c r="E99" s="34"/>
      <c r="F99"/>
      <c r="G99" s="34"/>
      <c r="H99"/>
      <c r="I99" s="34"/>
      <c r="J99"/>
      <c r="K99" s="34"/>
      <c r="L99"/>
      <c r="M99" s="34"/>
      <c r="N99"/>
      <c r="O99" s="34" t="n">
        <v>1</v>
      </c>
      <c r="P99" t="n">
        <v>1</v>
      </c>
      <c r="Q99" s="34"/>
      <c r="R99"/>
      <c r="S99" s="34"/>
      <c r="T99" s="12"/>
    </row>
    <row r="100" outlineLevel="1" hidden="0">
      <c r="A100" s="7" t="s">
        <v>15</v>
      </c>
      <c r="B100" t="s">
        <v>93</v>
      </c>
      <c r="C100" s="34" t="n">
        <v>1</v>
      </c>
      <c r="D100" t="n">
        <v>1</v>
      </c>
      <c r="E100" s="34"/>
      <c r="F100"/>
      <c r="G100" s="34"/>
      <c r="H100"/>
      <c r="I100" s="34" t="n">
        <v>1</v>
      </c>
      <c r="J100" t="n">
        <v>1</v>
      </c>
      <c r="K100" s="34"/>
      <c r="L100"/>
      <c r="M100" s="34"/>
      <c r="N100"/>
      <c r="O100" s="34"/>
      <c r="P100"/>
      <c r="Q100" s="34"/>
      <c r="R100"/>
      <c r="S100" s="34"/>
      <c r="T100" s="12"/>
    </row>
    <row r="101" outlineLevel="1" hidden="0">
      <c r="A101" s="7" t="s">
        <v>15</v>
      </c>
      <c r="B101" t="s">
        <v>98</v>
      </c>
      <c r="C101" s="34" t="n">
        <v>1</v>
      </c>
      <c r="D101" t="n">
        <v>1</v>
      </c>
      <c r="E101" s="34"/>
      <c r="F101"/>
      <c r="G101" s="34"/>
      <c r="H101"/>
      <c r="I101" s="34"/>
      <c r="J101"/>
      <c r="K101" s="34"/>
      <c r="L101"/>
      <c r="M101" s="34"/>
      <c r="N101"/>
      <c r="O101" s="34" t="n">
        <v>1</v>
      </c>
      <c r="P101" t="n">
        <v>1</v>
      </c>
      <c r="Q101" s="34"/>
      <c r="R101"/>
      <c r="S101" s="34"/>
      <c r="T101" s="12"/>
    </row>
    <row r="102" outlineLevel="1" hidden="0">
      <c r="A102" s="7" t="s">
        <v>15</v>
      </c>
      <c r="B102" t="s">
        <v>103</v>
      </c>
      <c r="C102" s="34" t="n">
        <v>1</v>
      </c>
      <c r="D102" t="n">
        <v>1</v>
      </c>
      <c r="E102" s="34"/>
      <c r="F102"/>
      <c r="G102" s="34"/>
      <c r="H102"/>
      <c r="I102" s="34" t="n">
        <v>1</v>
      </c>
      <c r="J102" t="n">
        <v>1</v>
      </c>
      <c r="K102" s="34"/>
      <c r="L102"/>
      <c r="M102" s="34"/>
      <c r="N102"/>
      <c r="O102" s="34"/>
      <c r="P102"/>
      <c r="Q102" s="34"/>
      <c r="R102"/>
      <c r="S102" s="34"/>
      <c r="T102" s="12"/>
    </row>
    <row r="103" outlineLevel="1" hidden="0">
      <c r="A103" s="7" t="s">
        <v>15</v>
      </c>
      <c r="B103" t="s">
        <v>123</v>
      </c>
      <c r="C103" s="34" t="n">
        <v>1</v>
      </c>
      <c r="D103" t="n">
        <v>1</v>
      </c>
      <c r="E103" s="34"/>
      <c r="F103"/>
      <c r="G103" s="34"/>
      <c r="H103"/>
      <c r="I103" s="34" t="n">
        <v>1</v>
      </c>
      <c r="J103" t="n">
        <v>1</v>
      </c>
      <c r="K103" s="34"/>
      <c r="L103"/>
      <c r="M103" s="34"/>
      <c r="N103"/>
      <c r="O103" s="34"/>
      <c r="P103"/>
      <c r="Q103" s="34"/>
      <c r="R103"/>
      <c r="S103" s="34"/>
      <c r="T103" s="12"/>
    </row>
    <row r="104" outlineLevel="1" hidden="0">
      <c r="A104" s="7" t="s">
        <v>15</v>
      </c>
      <c r="B104" t="s">
        <v>131</v>
      </c>
      <c r="C104" s="34" t="n">
        <v>1</v>
      </c>
      <c r="D104" t="n">
        <v>1</v>
      </c>
      <c r="E104" s="34"/>
      <c r="F104"/>
      <c r="G104" s="34"/>
      <c r="H104"/>
      <c r="I104" s="34" t="n">
        <v>1</v>
      </c>
      <c r="J104" t="n">
        <v>1</v>
      </c>
      <c r="K104" s="34"/>
      <c r="L104"/>
      <c r="M104" s="34"/>
      <c r="N104"/>
      <c r="O104" s="34"/>
      <c r="P104"/>
      <c r="Q104" s="34"/>
      <c r="R104"/>
      <c r="S104" s="34"/>
      <c r="T104" s="12"/>
    </row>
    <row r="105" outlineLevel="1" hidden="0">
      <c r="A105" s="8" t="s">
        <v>15</v>
      </c>
      <c r="B105" s="10" t="s">
        <v>144</v>
      </c>
      <c r="C105" s="33" t="n">
        <v>1</v>
      </c>
      <c r="D105" s="10" t="n">
        <v>1</v>
      </c>
      <c r="E105" s="33"/>
      <c r="F105" s="10"/>
      <c r="G105" s="33"/>
      <c r="H105" s="10"/>
      <c r="I105" s="33"/>
      <c r="J105" s="10"/>
      <c r="K105" s="33"/>
      <c r="L105" s="10"/>
      <c r="M105" s="33"/>
      <c r="N105" s="10"/>
      <c r="O105" s="33" t="n">
        <v>1</v>
      </c>
      <c r="P105" s="10" t="n">
        <v>1</v>
      </c>
      <c r="Q105" s="33"/>
      <c r="R105" s="10"/>
      <c r="S105" s="33"/>
      <c r="T105" s="13"/>
    </row>
    <row r="106">
      <c r="C106" s="34"/>
      <c r="E106" s="34"/>
      <c r="G106" s="34"/>
      <c r="I106" s="34"/>
      <c r="K106" s="34"/>
      <c r="M106" s="34"/>
      <c r="O106" s="34"/>
      <c r="Q106" s="34"/>
      <c r="S106" s="34"/>
    </row>
    <row r="107">
      <c r="C107" s="34"/>
      <c r="E107" s="34"/>
      <c r="G107" s="34"/>
      <c r="I107" s="34"/>
      <c r="K107" s="34"/>
      <c r="M107" s="34"/>
      <c r="O107" s="34"/>
      <c r="Q107" s="34"/>
      <c r="S107" s="34"/>
    </row>
  </sheetData>
  <mergeCells count="21">
    <mergeCell ref="A1:T1"/>
    <mergeCell ref="C2:H2"/>
    <mergeCell ref="I2:N2"/>
    <mergeCell ref="O2:T2"/>
    <mergeCell ref="E3:H3"/>
    <mergeCell ref="K3:N3"/>
    <mergeCell ref="Q3:T3"/>
    <mergeCell ref="E4:F4"/>
    <mergeCell ref="G4:H4"/>
    <mergeCell ref="C4:D4"/>
    <mergeCell ref="K4:L4"/>
    <mergeCell ref="M4:N4"/>
    <mergeCell ref="I4:J4"/>
    <mergeCell ref="Q4:R4"/>
    <mergeCell ref="S4:T4"/>
    <mergeCell ref="O4:P4"/>
    <mergeCell ref="A6:T6"/>
    <mergeCell ref="A9:T9"/>
    <mergeCell ref="A13:T13"/>
    <mergeCell ref="A25:T25"/>
    <mergeCell ref="A47:T47"/>
  </mergeCell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 outlineLevelRow="1"/>
  <sheetData>
    <row r="1">
      <c r="A1" s="1" t="s">
        <v>170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>
      <c r="C2" s="2" t="s">
        <v>2</v>
      </c>
      <c r="D2" s="2"/>
      <c r="E2" s="2"/>
      <c r="F2" s="2"/>
      <c r="G2" s="2" t="s">
        <v>3</v>
      </c>
      <c r="H2" s="2"/>
      <c r="I2" s="2"/>
      <c r="J2" s="2"/>
      <c r="K2" s="2" t="s">
        <v>4</v>
      </c>
      <c r="L2" s="2"/>
      <c r="M2" s="2"/>
      <c r="N2" s="2"/>
    </row>
    <row r="3">
      <c r="E3" s="2" t="s">
        <v>167</v>
      </c>
      <c r="F3" s="2"/>
      <c r="I3" s="2" t="s">
        <v>167</v>
      </c>
      <c r="J3" s="2"/>
      <c r="M3" s="2" t="s">
        <v>167</v>
      </c>
      <c r="N3" s="2"/>
    </row>
    <row r="4">
      <c r="C4" s="2" t="s">
        <v>10</v>
      </c>
      <c r="D4" s="2"/>
      <c r="E4" s="2" t="s">
        <v>171</v>
      </c>
      <c r="F4" s="2"/>
      <c r="G4" s="2" t="s">
        <v>10</v>
      </c>
      <c r="H4" s="2"/>
      <c r="I4" s="2" t="s">
        <v>171</v>
      </c>
      <c r="J4" s="2"/>
      <c r="K4" s="2" t="s">
        <v>10</v>
      </c>
      <c r="L4" s="2"/>
      <c r="M4" s="2" t="s">
        <v>171</v>
      </c>
      <c r="N4" s="2"/>
    </row>
    <row r="5">
      <c r="A5" s="2" t="s">
        <v>11</v>
      </c>
      <c r="B5" s="2" t="s">
        <v>12</v>
      </c>
      <c r="C5" s="2" t="s">
        <v>13</v>
      </c>
      <c r="D5" s="2" t="s">
        <v>14</v>
      </c>
      <c r="E5" s="2" t="s">
        <v>13</v>
      </c>
      <c r="F5" s="2" t="s">
        <v>14</v>
      </c>
      <c r="G5" s="2" t="s">
        <v>13</v>
      </c>
      <c r="H5" s="2" t="s">
        <v>14</v>
      </c>
      <c r="I5" s="2" t="s">
        <v>13</v>
      </c>
      <c r="J5" s="2" t="s">
        <v>14</v>
      </c>
      <c r="K5" s="2" t="s">
        <v>13</v>
      </c>
      <c r="L5" s="2" t="s">
        <v>14</v>
      </c>
      <c r="M5" s="2" t="s">
        <v>13</v>
      </c>
      <c r="N5" s="2" t="s">
        <v>14</v>
      </c>
    </row>
    <row r="6">
      <c r="A6" s="2" t="s">
        <v>16</v>
      </c>
      <c r="B6" s="2"/>
      <c r="C6" s="35"/>
      <c r="D6" s="2"/>
      <c r="E6" s="35"/>
      <c r="F6" s="2"/>
      <c r="G6" s="35"/>
      <c r="H6" s="2"/>
      <c r="I6" s="35"/>
      <c r="J6" s="2"/>
      <c r="K6" s="35"/>
      <c r="L6" s="2"/>
      <c r="M6" s="35"/>
      <c r="N6" s="2"/>
    </row>
    <row r="7" outlineLevel="1" hidden="0">
      <c r="A7" s="3" t="s">
        <v>15</v>
      </c>
      <c r="B7" s="4" t="s">
        <v>18</v>
      </c>
      <c r="C7" s="36" t="n">
        <v>0.872073943756616</v>
      </c>
      <c r="D7" s="4" t="n">
        <v>1621</v>
      </c>
      <c r="E7" s="36" t="n">
        <v>0.854416755211606</v>
      </c>
      <c r="F7" s="4" t="n">
        <v>1621</v>
      </c>
      <c r="G7" s="36" t="n">
        <v>0.894732654288568</v>
      </c>
      <c r="H7" s="4" t="n">
        <v>833</v>
      </c>
      <c r="I7" s="36" t="n">
        <v>0.874655903810087</v>
      </c>
      <c r="J7" s="4" t="n">
        <v>833</v>
      </c>
      <c r="K7" s="36" t="n">
        <v>0.849021546696204</v>
      </c>
      <c r="L7" s="4" t="n">
        <v>788</v>
      </c>
      <c r="M7" s="36" t="n">
        <v>0.833825959058447</v>
      </c>
      <c r="N7" s="5" t="n">
        <v>788</v>
      </c>
    </row>
    <row r="8">
      <c r="C8" s="39"/>
      <c r="E8" s="39"/>
      <c r="G8" s="39"/>
      <c r="I8" s="39"/>
      <c r="K8" s="39"/>
      <c r="M8" s="39"/>
    </row>
    <row r="9">
      <c r="A9" s="2" t="s">
        <v>21</v>
      </c>
      <c r="B9" s="2"/>
      <c r="C9" s="35"/>
      <c r="D9" s="2"/>
      <c r="E9" s="35"/>
      <c r="F9" s="2"/>
      <c r="G9" s="35"/>
      <c r="H9" s="2"/>
      <c r="I9" s="35"/>
      <c r="J9" s="2"/>
      <c r="K9" s="35"/>
      <c r="L9" s="2"/>
      <c r="M9" s="35"/>
      <c r="N9" s="2"/>
    </row>
    <row r="10" outlineLevel="1" hidden="0">
      <c r="A10" s="6" t="s">
        <v>15</v>
      </c>
      <c r="B10" s="9" t="s">
        <v>23</v>
      </c>
      <c r="C10" s="37" t="n">
        <v>0.858545244696053</v>
      </c>
      <c r="D10" s="9" t="n">
        <v>862</v>
      </c>
      <c r="E10" s="37" t="n">
        <v>0.830685915463738</v>
      </c>
      <c r="F10" s="9" t="n">
        <v>862</v>
      </c>
      <c r="G10" s="37" t="n">
        <v>0.882723641682583</v>
      </c>
      <c r="H10" s="9" t="n">
        <v>436</v>
      </c>
      <c r="I10" s="37" t="n">
        <v>0.848785351814529</v>
      </c>
      <c r="J10" s="9" t="n">
        <v>436</v>
      </c>
      <c r="K10" s="37" t="n">
        <v>0.834899573391227</v>
      </c>
      <c r="L10" s="9" t="n">
        <v>426</v>
      </c>
      <c r="M10" s="37" t="n">
        <v>0.812985266285389</v>
      </c>
      <c r="N10" s="11" t="n">
        <v>426</v>
      </c>
    </row>
    <row r="11" outlineLevel="1" hidden="0">
      <c r="A11" s="7" t="s">
        <v>15</v>
      </c>
      <c r="B11" t="s">
        <v>24</v>
      </c>
      <c r="C11" s="39" t="n">
        <v>0.889338768953074</v>
      </c>
      <c r="D11" t="n">
        <v>758</v>
      </c>
      <c r="E11" s="39" t="n">
        <v>0.884716825226718</v>
      </c>
      <c r="F11" t="n">
        <v>758</v>
      </c>
      <c r="G11" s="39" t="n">
        <v>0.909409844067498</v>
      </c>
      <c r="H11" t="n">
        <v>397</v>
      </c>
      <c r="I11" s="39" t="n">
        <v>0.906274406828001</v>
      </c>
      <c r="J11" t="n">
        <v>397</v>
      </c>
      <c r="K11" s="39" t="n">
        <v>0.867852399170936</v>
      </c>
      <c r="L11" t="n">
        <v>361</v>
      </c>
      <c r="M11" s="39" t="n">
        <v>0.861639129226223</v>
      </c>
      <c r="N11" s="12" t="n">
        <v>361</v>
      </c>
    </row>
    <row r="12" outlineLevel="1" hidden="0">
      <c r="A12" s="8" t="s">
        <v>15</v>
      </c>
      <c r="B12" s="10" t="s">
        <v>22</v>
      </c>
      <c r="C12" s="38" t="n">
        <v>1</v>
      </c>
      <c r="D12" s="10" t="n">
        <v>1</v>
      </c>
      <c r="E12" s="38" t="n">
        <v>1</v>
      </c>
      <c r="F12" s="10" t="n">
        <v>1</v>
      </c>
      <c r="G12" s="38"/>
      <c r="H12" s="10"/>
      <c r="I12" s="38"/>
      <c r="J12" s="10"/>
      <c r="K12" s="38" t="n">
        <v>1</v>
      </c>
      <c r="L12" s="10" t="n">
        <v>1</v>
      </c>
      <c r="M12" s="38" t="n">
        <v>1</v>
      </c>
      <c r="N12" s="13" t="n">
        <v>1</v>
      </c>
    </row>
    <row r="13">
      <c r="C13" s="39"/>
      <c r="E13" s="39"/>
      <c r="G13" s="39"/>
      <c r="I13" s="39"/>
      <c r="K13" s="39"/>
      <c r="M13" s="39"/>
    </row>
    <row r="14">
      <c r="A14" s="2" t="s">
        <v>25</v>
      </c>
      <c r="B14" s="2"/>
      <c r="C14" s="35"/>
      <c r="D14" s="2"/>
      <c r="E14" s="35"/>
      <c r="F14" s="2"/>
      <c r="G14" s="35"/>
      <c r="H14" s="2"/>
      <c r="I14" s="35"/>
      <c r="J14" s="2"/>
      <c r="K14" s="35"/>
      <c r="L14" s="2"/>
      <c r="M14" s="35"/>
      <c r="N14" s="2"/>
    </row>
    <row r="15" outlineLevel="1" hidden="0">
      <c r="A15" s="6" t="s">
        <v>15</v>
      </c>
      <c r="B15" s="9" t="s">
        <v>26</v>
      </c>
      <c r="C15" s="37" t="n">
        <v>0.895646691418907</v>
      </c>
      <c r="D15" s="9" t="n">
        <v>341</v>
      </c>
      <c r="E15" s="37" t="n">
        <v>0.89310283106715</v>
      </c>
      <c r="F15" s="9" t="n">
        <v>341</v>
      </c>
      <c r="G15" s="37" t="n">
        <v>0.928079108459908</v>
      </c>
      <c r="H15" s="9" t="n">
        <v>182</v>
      </c>
      <c r="I15" s="37" t="n">
        <v>0.928079108459908</v>
      </c>
      <c r="J15" s="9" t="n">
        <v>182</v>
      </c>
      <c r="K15" s="37" t="n">
        <v>0.858992555209892</v>
      </c>
      <c r="L15" s="9" t="n">
        <v>159</v>
      </c>
      <c r="M15" s="37" t="n">
        <v>0.853573700875659</v>
      </c>
      <c r="N15" s="11" t="n">
        <v>159</v>
      </c>
    </row>
    <row r="16" outlineLevel="1" hidden="0">
      <c r="A16" s="7" t="s">
        <v>15</v>
      </c>
      <c r="B16" t="s">
        <v>27</v>
      </c>
      <c r="C16" s="39" t="n">
        <v>0.807804253105115</v>
      </c>
      <c r="D16" t="n">
        <v>196</v>
      </c>
      <c r="E16" s="39" t="n">
        <v>0.783724603990845</v>
      </c>
      <c r="F16" t="n">
        <v>196</v>
      </c>
      <c r="G16" s="39" t="n">
        <v>0.791851464829049</v>
      </c>
      <c r="H16" t="n">
        <v>99</v>
      </c>
      <c r="I16" s="39" t="n">
        <v>0.762628084243582</v>
      </c>
      <c r="J16" t="n">
        <v>99</v>
      </c>
      <c r="K16" s="39" t="n">
        <v>0.822593632449037</v>
      </c>
      <c r="L16" t="n">
        <v>97</v>
      </c>
      <c r="M16" s="39" t="n">
        <v>0.803282591471121</v>
      </c>
      <c r="N16" s="12" t="n">
        <v>97</v>
      </c>
    </row>
    <row r="17" outlineLevel="1" hidden="0">
      <c r="A17" s="7" t="s">
        <v>15</v>
      </c>
      <c r="B17" t="s">
        <v>28</v>
      </c>
      <c r="C17" s="39" t="n">
        <v>0.878686205437318</v>
      </c>
      <c r="D17" t="n">
        <v>142</v>
      </c>
      <c r="E17" s="39" t="n">
        <v>0.847958914155776</v>
      </c>
      <c r="F17" t="n">
        <v>142</v>
      </c>
      <c r="G17" s="39" t="n">
        <v>0.877333704216159</v>
      </c>
      <c r="H17" t="n">
        <v>71</v>
      </c>
      <c r="I17" s="39" t="n">
        <v>0.844906651831354</v>
      </c>
      <c r="J17" t="n">
        <v>71</v>
      </c>
      <c r="K17" s="39" t="n">
        <v>0.880060005542372</v>
      </c>
      <c r="L17" t="n">
        <v>71</v>
      </c>
      <c r="M17" s="39" t="n">
        <v>0.851059242818216</v>
      </c>
      <c r="N17" s="12" t="n">
        <v>71</v>
      </c>
    </row>
    <row r="18" outlineLevel="1" hidden="0">
      <c r="A18" s="7" t="s">
        <v>15</v>
      </c>
      <c r="B18" t="s">
        <v>29</v>
      </c>
      <c r="C18" s="39" t="n">
        <v>0.895425862326295</v>
      </c>
      <c r="D18" t="n">
        <v>140</v>
      </c>
      <c r="E18" s="39" t="n">
        <v>0.889611653184723</v>
      </c>
      <c r="F18" t="n">
        <v>140</v>
      </c>
      <c r="G18" s="39" t="n">
        <v>0.922530777213244</v>
      </c>
      <c r="H18" t="n">
        <v>79</v>
      </c>
      <c r="I18" s="39" t="n">
        <v>0.912478016276254</v>
      </c>
      <c r="J18" t="n">
        <v>79</v>
      </c>
      <c r="K18" s="39" t="n">
        <v>0.858244850621402</v>
      </c>
      <c r="L18" t="n">
        <v>61</v>
      </c>
      <c r="M18" s="39" t="n">
        <v>0.858244850621402</v>
      </c>
      <c r="N18" s="12" t="n">
        <v>61</v>
      </c>
    </row>
    <row r="19" outlineLevel="1" hidden="0">
      <c r="A19" s="7" t="s">
        <v>15</v>
      </c>
      <c r="B19" t="s">
        <v>30</v>
      </c>
      <c r="C19" s="39" t="n">
        <v>0.924759434189367</v>
      </c>
      <c r="D19" t="n">
        <v>112</v>
      </c>
      <c r="E19" s="39" t="n">
        <v>0.915139170231792</v>
      </c>
      <c r="F19" t="n">
        <v>112</v>
      </c>
      <c r="G19" s="39" t="n">
        <v>0.924641851967457</v>
      </c>
      <c r="H19" t="n">
        <v>55</v>
      </c>
      <c r="I19" s="39" t="n">
        <v>0.9049200092167</v>
      </c>
      <c r="J19" t="n">
        <v>55</v>
      </c>
      <c r="K19" s="39" t="n">
        <v>0.924871413913987</v>
      </c>
      <c r="L19" t="n">
        <v>57</v>
      </c>
      <c r="M19" s="39" t="n">
        <v>0.924871413913987</v>
      </c>
      <c r="N19" s="12" t="n">
        <v>57</v>
      </c>
    </row>
    <row r="20" outlineLevel="1" hidden="0">
      <c r="A20" s="7" t="s">
        <v>15</v>
      </c>
      <c r="B20" t="s">
        <v>31</v>
      </c>
      <c r="C20" s="39" t="n">
        <v>0.690159621345097</v>
      </c>
      <c r="D20" t="n">
        <v>169</v>
      </c>
      <c r="E20" s="39" t="n">
        <v>0.649629646623515</v>
      </c>
      <c r="F20" t="n">
        <v>169</v>
      </c>
      <c r="G20" s="39" t="n">
        <v>0.752143215079246</v>
      </c>
      <c r="H20" t="n">
        <v>86</v>
      </c>
      <c r="I20" s="39" t="n">
        <v>0.68764496896755</v>
      </c>
      <c r="J20" t="n">
        <v>86</v>
      </c>
      <c r="K20" s="39" t="n">
        <v>0.638174571479895</v>
      </c>
      <c r="L20" t="n">
        <v>83</v>
      </c>
      <c r="M20" s="39" t="n">
        <v>0.617746557750473</v>
      </c>
      <c r="N20" s="12" t="n">
        <v>83</v>
      </c>
    </row>
    <row r="21" outlineLevel="1" hidden="0">
      <c r="A21" s="7" t="s">
        <v>15</v>
      </c>
      <c r="B21" t="s">
        <v>32</v>
      </c>
      <c r="C21" s="39" t="n">
        <v>0.917015829450932</v>
      </c>
      <c r="D21" t="n">
        <v>119</v>
      </c>
      <c r="E21" s="39" t="n">
        <v>0.87770485755376</v>
      </c>
      <c r="F21" t="n">
        <v>119</v>
      </c>
      <c r="G21" s="39" t="n">
        <v>0.931811896152501</v>
      </c>
      <c r="H21" t="n">
        <v>53</v>
      </c>
      <c r="I21" s="39" t="n">
        <v>0.894977823606036</v>
      </c>
      <c r="J21" t="n">
        <v>53</v>
      </c>
      <c r="K21" s="39" t="n">
        <v>0.905449624671588</v>
      </c>
      <c r="L21" t="n">
        <v>66</v>
      </c>
      <c r="M21" s="39" t="n">
        <v>0.864202440557619</v>
      </c>
      <c r="N21" s="12" t="n">
        <v>66</v>
      </c>
    </row>
    <row r="22" outlineLevel="1" hidden="0">
      <c r="A22" s="7" t="s">
        <v>15</v>
      </c>
      <c r="B22" t="s">
        <v>33</v>
      </c>
      <c r="C22" s="39" t="n">
        <v>0.968779957132922</v>
      </c>
      <c r="D22" t="n">
        <v>107</v>
      </c>
      <c r="E22" s="39" t="n">
        <v>0.968779957132922</v>
      </c>
      <c r="F22" t="n">
        <v>107</v>
      </c>
      <c r="G22" s="39" t="n">
        <v>1</v>
      </c>
      <c r="H22" t="n">
        <v>61</v>
      </c>
      <c r="I22" s="39" t="n">
        <v>1</v>
      </c>
      <c r="J22" t="n">
        <v>61</v>
      </c>
      <c r="K22" s="39" t="n">
        <v>0.936882906197997</v>
      </c>
      <c r="L22" t="n">
        <v>46</v>
      </c>
      <c r="M22" s="39" t="n">
        <v>0.936882906197997</v>
      </c>
      <c r="N22" s="12" t="n">
        <v>46</v>
      </c>
    </row>
    <row r="23" outlineLevel="1" hidden="0">
      <c r="A23" s="7" t="s">
        <v>15</v>
      </c>
      <c r="B23" t="s">
        <v>34</v>
      </c>
      <c r="C23" s="39" t="n">
        <v>0.775994434526909</v>
      </c>
      <c r="D23" t="n">
        <v>140</v>
      </c>
      <c r="E23" s="39" t="n">
        <v>0.718356018616473</v>
      </c>
      <c r="F23" t="n">
        <v>140</v>
      </c>
      <c r="G23" s="39" t="n">
        <v>0.801626439808419</v>
      </c>
      <c r="H23" t="n">
        <v>74</v>
      </c>
      <c r="I23" s="39" t="n">
        <v>0.735501919744559</v>
      </c>
      <c r="J23" t="n">
        <v>74</v>
      </c>
      <c r="K23" s="39" t="n">
        <v>0.748983586972406</v>
      </c>
      <c r="L23" t="n">
        <v>66</v>
      </c>
      <c r="M23" s="39" t="n">
        <v>0.700287774775662</v>
      </c>
      <c r="N23" s="12" t="n">
        <v>66</v>
      </c>
    </row>
    <row r="24" outlineLevel="1" hidden="0">
      <c r="A24" s="8" t="s">
        <v>15</v>
      </c>
      <c r="B24" s="10" t="s">
        <v>35</v>
      </c>
      <c r="C24" s="38" t="n">
        <v>0.976619475015</v>
      </c>
      <c r="D24" s="10" t="n">
        <v>155</v>
      </c>
      <c r="E24" s="38" t="n">
        <v>0.966193133890569</v>
      </c>
      <c r="F24" s="10" t="n">
        <v>155</v>
      </c>
      <c r="G24" s="38" t="n">
        <v>1</v>
      </c>
      <c r="H24" s="10" t="n">
        <v>73</v>
      </c>
      <c r="I24" s="38" t="n">
        <v>1</v>
      </c>
      <c r="J24" s="10" t="n">
        <v>73</v>
      </c>
      <c r="K24" s="38" t="n">
        <v>0.954629513827078</v>
      </c>
      <c r="L24" s="10" t="n">
        <v>82</v>
      </c>
      <c r="M24" s="38" t="n">
        <v>0.934396941371001</v>
      </c>
      <c r="N24" s="13" t="n">
        <v>82</v>
      </c>
    </row>
    <row r="25">
      <c r="C25" s="39"/>
      <c r="E25" s="39"/>
      <c r="G25" s="39"/>
      <c r="I25" s="39"/>
      <c r="K25" s="39"/>
      <c r="M25" s="39"/>
    </row>
    <row r="26">
      <c r="A26" s="2" t="s">
        <v>36</v>
      </c>
      <c r="B26" s="2"/>
      <c r="C26" s="35"/>
      <c r="D26" s="2"/>
      <c r="E26" s="35"/>
      <c r="F26" s="2"/>
      <c r="G26" s="35"/>
      <c r="H26" s="2"/>
      <c r="I26" s="35"/>
      <c r="J26" s="2"/>
      <c r="K26" s="35"/>
      <c r="L26" s="2"/>
      <c r="M26" s="35"/>
      <c r="N26" s="2"/>
    </row>
    <row r="27" outlineLevel="1" hidden="0">
      <c r="A27" s="6" t="s">
        <v>15</v>
      </c>
      <c r="B27" s="9" t="s">
        <v>37</v>
      </c>
      <c r="C27" s="37" t="n">
        <v>0.895522388059702</v>
      </c>
      <c r="D27" s="9" t="n">
        <v>67</v>
      </c>
      <c r="E27" s="37" t="n">
        <v>0.880597014925373</v>
      </c>
      <c r="F27" s="9" t="n">
        <v>67</v>
      </c>
      <c r="G27" s="37" t="n">
        <v>0.903225806451613</v>
      </c>
      <c r="H27" s="9" t="n">
        <v>31</v>
      </c>
      <c r="I27" s="37" t="n">
        <v>0.870967741935484</v>
      </c>
      <c r="J27" s="9" t="n">
        <v>31</v>
      </c>
      <c r="K27" s="37" t="n">
        <v>0.888888888888889</v>
      </c>
      <c r="L27" s="9" t="n">
        <v>36</v>
      </c>
      <c r="M27" s="37" t="n">
        <v>0.888888888888889</v>
      </c>
      <c r="N27" s="11" t="n">
        <v>36</v>
      </c>
    </row>
    <row r="28" outlineLevel="1" hidden="0">
      <c r="A28" s="7" t="s">
        <v>15</v>
      </c>
      <c r="B28" t="s">
        <v>38</v>
      </c>
      <c r="C28" s="39" t="n">
        <v>0.977777777777778</v>
      </c>
      <c r="D28" t="n">
        <v>45</v>
      </c>
      <c r="E28" s="39" t="n">
        <v>0.977777777777778</v>
      </c>
      <c r="F28" t="n">
        <v>45</v>
      </c>
      <c r="G28" s="39" t="n">
        <v>0.958333333333333</v>
      </c>
      <c r="H28" t="n">
        <v>24</v>
      </c>
      <c r="I28" s="39" t="n">
        <v>0.958333333333333</v>
      </c>
      <c r="J28" t="n">
        <v>24</v>
      </c>
      <c r="K28" s="39" t="n">
        <v>1</v>
      </c>
      <c r="L28" t="n">
        <v>21</v>
      </c>
      <c r="M28" s="39" t="n">
        <v>1</v>
      </c>
      <c r="N28" s="12" t="n">
        <v>21</v>
      </c>
    </row>
    <row r="29" outlineLevel="1" hidden="0">
      <c r="A29" s="7" t="s">
        <v>15</v>
      </c>
      <c r="B29" t="s">
        <v>39</v>
      </c>
      <c r="C29" s="39" t="n">
        <v>0.67741935483871</v>
      </c>
      <c r="D29" t="n">
        <v>93</v>
      </c>
      <c r="E29" s="39" t="n">
        <v>0.634408602150538</v>
      </c>
      <c r="F29" t="n">
        <v>93</v>
      </c>
      <c r="G29" s="39" t="n">
        <v>0.75</v>
      </c>
      <c r="H29" t="n">
        <v>40</v>
      </c>
      <c r="I29" s="39" t="n">
        <v>0.675</v>
      </c>
      <c r="J29" t="n">
        <v>40</v>
      </c>
      <c r="K29" s="39" t="n">
        <v>0.622641509433962</v>
      </c>
      <c r="L29" t="n">
        <v>53</v>
      </c>
      <c r="M29" s="39" t="n">
        <v>0.60377358490566</v>
      </c>
      <c r="N29" s="12" t="n">
        <v>53</v>
      </c>
    </row>
    <row r="30" outlineLevel="1" hidden="0">
      <c r="A30" s="7" t="s">
        <v>15</v>
      </c>
      <c r="B30" t="s">
        <v>40</v>
      </c>
      <c r="C30" s="39" t="n">
        <v>0.763157894736842</v>
      </c>
      <c r="D30" t="n">
        <v>76</v>
      </c>
      <c r="E30" s="39" t="n">
        <v>0.736842105263158</v>
      </c>
      <c r="F30" t="n">
        <v>76</v>
      </c>
      <c r="G30" s="39" t="n">
        <v>0.760869565217391</v>
      </c>
      <c r="H30" t="n">
        <v>46</v>
      </c>
      <c r="I30" s="39" t="n">
        <v>0.739130434782609</v>
      </c>
      <c r="J30" t="n">
        <v>46</v>
      </c>
      <c r="K30" s="39" t="n">
        <v>0.766666666666667</v>
      </c>
      <c r="L30" t="n">
        <v>30</v>
      </c>
      <c r="M30" s="39" t="n">
        <v>0.733333333333333</v>
      </c>
      <c r="N30" s="12" t="n">
        <v>30</v>
      </c>
    </row>
    <row r="31" outlineLevel="1" hidden="0">
      <c r="A31" s="7" t="s">
        <v>15</v>
      </c>
      <c r="B31" t="s">
        <v>41</v>
      </c>
      <c r="C31" s="39" t="n">
        <v>0.966101694915254</v>
      </c>
      <c r="D31" t="n">
        <v>59</v>
      </c>
      <c r="E31" s="39" t="n">
        <v>0.966101694915254</v>
      </c>
      <c r="F31" t="n">
        <v>59</v>
      </c>
      <c r="G31" s="39" t="n">
        <v>1</v>
      </c>
      <c r="H31" t="n">
        <v>29</v>
      </c>
      <c r="I31" s="39" t="n">
        <v>1</v>
      </c>
      <c r="J31" t="n">
        <v>29</v>
      </c>
      <c r="K31" s="39" t="n">
        <v>0.933333333333333</v>
      </c>
      <c r="L31" t="n">
        <v>30</v>
      </c>
      <c r="M31" s="39" t="n">
        <v>0.933333333333333</v>
      </c>
      <c r="N31" s="12" t="n">
        <v>30</v>
      </c>
    </row>
    <row r="32" outlineLevel="1" hidden="0">
      <c r="A32" s="7" t="s">
        <v>15</v>
      </c>
      <c r="B32" t="s">
        <v>42</v>
      </c>
      <c r="C32" s="39" t="n">
        <v>1</v>
      </c>
      <c r="D32" t="n">
        <v>48</v>
      </c>
      <c r="E32" s="39" t="n">
        <v>1</v>
      </c>
      <c r="F32" t="n">
        <v>48</v>
      </c>
      <c r="G32" s="39" t="n">
        <v>1</v>
      </c>
      <c r="H32" t="n">
        <v>32</v>
      </c>
      <c r="I32" s="39" t="n">
        <v>1</v>
      </c>
      <c r="J32" t="n">
        <v>32</v>
      </c>
      <c r="K32" s="39" t="n">
        <v>1</v>
      </c>
      <c r="L32" t="n">
        <v>16</v>
      </c>
      <c r="M32" s="39" t="n">
        <v>1</v>
      </c>
      <c r="N32" s="12" t="n">
        <v>16</v>
      </c>
    </row>
    <row r="33" outlineLevel="1" hidden="0">
      <c r="A33" s="7" t="s">
        <v>15</v>
      </c>
      <c r="B33" t="s">
        <v>43</v>
      </c>
      <c r="C33" s="39" t="n">
        <v>0.974025974025974</v>
      </c>
      <c r="D33" t="n">
        <v>77</v>
      </c>
      <c r="E33" s="39" t="n">
        <v>0.961038961038961</v>
      </c>
      <c r="F33" t="n">
        <v>77</v>
      </c>
      <c r="G33" s="39" t="n">
        <v>1</v>
      </c>
      <c r="H33" t="n">
        <v>38</v>
      </c>
      <c r="I33" s="39" t="n">
        <v>1</v>
      </c>
      <c r="J33" t="n">
        <v>38</v>
      </c>
      <c r="K33" s="39" t="n">
        <v>0.948717948717949</v>
      </c>
      <c r="L33" t="n">
        <v>39</v>
      </c>
      <c r="M33" s="39" t="n">
        <v>0.923076923076923</v>
      </c>
      <c r="N33" s="12" t="n">
        <v>39</v>
      </c>
    </row>
    <row r="34" outlineLevel="1" hidden="0">
      <c r="A34" s="7" t="s">
        <v>15</v>
      </c>
      <c r="B34" t="s">
        <v>44</v>
      </c>
      <c r="C34" s="39" t="n">
        <v>0.987179487179487</v>
      </c>
      <c r="D34" t="n">
        <v>78</v>
      </c>
      <c r="E34" s="39" t="n">
        <v>0.987179487179487</v>
      </c>
      <c r="F34" t="n">
        <v>78</v>
      </c>
      <c r="G34" s="39" t="n">
        <v>1</v>
      </c>
      <c r="H34" t="n">
        <v>35</v>
      </c>
      <c r="I34" s="39" t="n">
        <v>1</v>
      </c>
      <c r="J34" t="n">
        <v>35</v>
      </c>
      <c r="K34" s="39" t="n">
        <v>0.976744186046512</v>
      </c>
      <c r="L34" t="n">
        <v>43</v>
      </c>
      <c r="M34" s="39" t="n">
        <v>0.976744186046512</v>
      </c>
      <c r="N34" s="12" t="n">
        <v>43</v>
      </c>
    </row>
    <row r="35" outlineLevel="1" hidden="0">
      <c r="A35" s="7" t="s">
        <v>15</v>
      </c>
      <c r="B35" t="s">
        <v>45</v>
      </c>
      <c r="C35" s="39" t="n">
        <v>0.906666666666667</v>
      </c>
      <c r="D35" t="n">
        <v>75</v>
      </c>
      <c r="E35" s="39" t="n">
        <v>0.906666666666667</v>
      </c>
      <c r="F35" t="n">
        <v>75</v>
      </c>
      <c r="G35" s="39" t="n">
        <v>0.916666666666667</v>
      </c>
      <c r="H35" t="n">
        <v>48</v>
      </c>
      <c r="I35" s="39" t="n">
        <v>0.916666666666667</v>
      </c>
      <c r="J35" t="n">
        <v>48</v>
      </c>
      <c r="K35" s="39" t="n">
        <v>0.888888888888889</v>
      </c>
      <c r="L35" t="n">
        <v>27</v>
      </c>
      <c r="M35" s="39" t="n">
        <v>0.888888888888889</v>
      </c>
      <c r="N35" s="12" t="n">
        <v>27</v>
      </c>
    </row>
    <row r="36" outlineLevel="1" hidden="0">
      <c r="A36" s="7" t="s">
        <v>15</v>
      </c>
      <c r="B36" t="s">
        <v>46</v>
      </c>
      <c r="C36" s="39" t="n">
        <v>0.876923076923077</v>
      </c>
      <c r="D36" t="n">
        <v>65</v>
      </c>
      <c r="E36" s="39" t="n">
        <v>0.861538461538461</v>
      </c>
      <c r="F36" t="n">
        <v>65</v>
      </c>
      <c r="G36" s="39" t="n">
        <v>0.935483870967742</v>
      </c>
      <c r="H36" t="n">
        <v>31</v>
      </c>
      <c r="I36" s="39" t="n">
        <v>0.903225806451613</v>
      </c>
      <c r="J36" t="n">
        <v>31</v>
      </c>
      <c r="K36" s="39" t="n">
        <v>0.823529411764706</v>
      </c>
      <c r="L36" t="n">
        <v>34</v>
      </c>
      <c r="M36" s="39" t="n">
        <v>0.823529411764706</v>
      </c>
      <c r="N36" s="12" t="n">
        <v>34</v>
      </c>
    </row>
    <row r="37" outlineLevel="1" hidden="0">
      <c r="A37" s="7" t="s">
        <v>15</v>
      </c>
      <c r="B37" t="s">
        <v>47</v>
      </c>
      <c r="C37" s="39" t="n">
        <v>0.743589743589744</v>
      </c>
      <c r="D37" t="n">
        <v>78</v>
      </c>
      <c r="E37" s="39" t="n">
        <v>0.67948717948718</v>
      </c>
      <c r="F37" t="n">
        <v>78</v>
      </c>
      <c r="G37" s="39" t="n">
        <v>0.769230769230769</v>
      </c>
      <c r="H37" t="n">
        <v>39</v>
      </c>
      <c r="I37" s="39" t="n">
        <v>0.692307692307692</v>
      </c>
      <c r="J37" t="n">
        <v>39</v>
      </c>
      <c r="K37" s="39" t="n">
        <v>0.717948717948718</v>
      </c>
      <c r="L37" t="n">
        <v>39</v>
      </c>
      <c r="M37" s="39" t="n">
        <v>0.666666666666667</v>
      </c>
      <c r="N37" s="12" t="n">
        <v>39</v>
      </c>
    </row>
    <row r="38" outlineLevel="1" hidden="0">
      <c r="A38" s="7" t="s">
        <v>15</v>
      </c>
      <c r="B38" t="s">
        <v>48</v>
      </c>
      <c r="C38" s="39" t="n">
        <v>0.903225806451613</v>
      </c>
      <c r="D38" t="n">
        <v>62</v>
      </c>
      <c r="E38" s="39" t="n">
        <v>0.870967741935484</v>
      </c>
      <c r="F38" t="n">
        <v>62</v>
      </c>
      <c r="G38" s="39" t="n">
        <v>0.914285714285714</v>
      </c>
      <c r="H38" t="n">
        <v>35</v>
      </c>
      <c r="I38" s="39" t="n">
        <v>0.885714285714286</v>
      </c>
      <c r="J38" t="n">
        <v>35</v>
      </c>
      <c r="K38" s="39" t="n">
        <v>0.888888888888889</v>
      </c>
      <c r="L38" t="n">
        <v>27</v>
      </c>
      <c r="M38" s="39" t="n">
        <v>0.851851851851852</v>
      </c>
      <c r="N38" s="12" t="n">
        <v>27</v>
      </c>
    </row>
    <row r="39" outlineLevel="1" hidden="0">
      <c r="A39" s="7" t="s">
        <v>15</v>
      </c>
      <c r="B39" t="s">
        <v>49</v>
      </c>
      <c r="C39" s="39" t="n">
        <v>0.866666666666667</v>
      </c>
      <c r="D39" t="n">
        <v>60</v>
      </c>
      <c r="E39" s="39" t="n">
        <v>0.816666666666667</v>
      </c>
      <c r="F39" t="n">
        <v>60</v>
      </c>
      <c r="G39" s="39" t="n">
        <v>0.90625</v>
      </c>
      <c r="H39" t="n">
        <v>32</v>
      </c>
      <c r="I39" s="39" t="n">
        <v>0.84375</v>
      </c>
      <c r="J39" t="n">
        <v>32</v>
      </c>
      <c r="K39" s="39" t="n">
        <v>0.821428571428571</v>
      </c>
      <c r="L39" t="n">
        <v>28</v>
      </c>
      <c r="M39" s="39" t="n">
        <v>0.785714285714286</v>
      </c>
      <c r="N39" s="12" t="n">
        <v>28</v>
      </c>
    </row>
    <row r="40" outlineLevel="1" hidden="0">
      <c r="A40" s="7" t="s">
        <v>15</v>
      </c>
      <c r="B40" t="s">
        <v>50</v>
      </c>
      <c r="C40" s="39" t="n">
        <v>0.890243902439024</v>
      </c>
      <c r="D40" t="n">
        <v>82</v>
      </c>
      <c r="E40" s="39" t="n">
        <v>0.878048780487805</v>
      </c>
      <c r="F40" t="n">
        <v>82</v>
      </c>
      <c r="G40" s="39" t="n">
        <v>0.846153846153846</v>
      </c>
      <c r="H40" t="n">
        <v>39</v>
      </c>
      <c r="I40" s="39" t="n">
        <v>0.846153846153846</v>
      </c>
      <c r="J40" t="n">
        <v>39</v>
      </c>
      <c r="K40" s="39" t="n">
        <v>0.930232558139535</v>
      </c>
      <c r="L40" t="n">
        <v>43</v>
      </c>
      <c r="M40" s="39" t="n">
        <v>0.906976744186046</v>
      </c>
      <c r="N40" s="12" t="n">
        <v>43</v>
      </c>
    </row>
    <row r="41" outlineLevel="1" hidden="0">
      <c r="A41" s="7" t="s">
        <v>15</v>
      </c>
      <c r="B41" t="s">
        <v>51</v>
      </c>
      <c r="C41" s="39" t="n">
        <v>0.980392156862745</v>
      </c>
      <c r="D41" t="n">
        <v>51</v>
      </c>
      <c r="E41" s="39" t="n">
        <v>0.980392156862745</v>
      </c>
      <c r="F41" t="n">
        <v>51</v>
      </c>
      <c r="G41" s="39" t="n">
        <v>1</v>
      </c>
      <c r="H41" t="n">
        <v>26</v>
      </c>
      <c r="I41" s="39" t="n">
        <v>1</v>
      </c>
      <c r="J41" t="n">
        <v>26</v>
      </c>
      <c r="K41" s="39" t="n">
        <v>0.96</v>
      </c>
      <c r="L41" t="n">
        <v>25</v>
      </c>
      <c r="M41" s="39" t="n">
        <v>0.96</v>
      </c>
      <c r="N41" s="12" t="n">
        <v>25</v>
      </c>
    </row>
    <row r="42" outlineLevel="1" hidden="0">
      <c r="A42" s="7" t="s">
        <v>15</v>
      </c>
      <c r="B42" t="s">
        <v>52</v>
      </c>
      <c r="C42" s="39" t="n">
        <v>0.86551724137931</v>
      </c>
      <c r="D42" t="n">
        <v>290</v>
      </c>
      <c r="E42" s="39" t="n">
        <v>0.862068965517241</v>
      </c>
      <c r="F42" t="n">
        <v>290</v>
      </c>
      <c r="G42" s="39" t="n">
        <v>0.903846153846154</v>
      </c>
      <c r="H42" t="n">
        <v>156</v>
      </c>
      <c r="I42" s="39" t="n">
        <v>0.903846153846154</v>
      </c>
      <c r="J42" t="n">
        <v>156</v>
      </c>
      <c r="K42" s="39" t="n">
        <v>0.82089552238806</v>
      </c>
      <c r="L42" t="n">
        <v>134</v>
      </c>
      <c r="M42" s="39" t="n">
        <v>0.813432835820896</v>
      </c>
      <c r="N42" s="12" t="n">
        <v>134</v>
      </c>
    </row>
    <row r="43" outlineLevel="1" hidden="0">
      <c r="A43" s="7" t="s">
        <v>15</v>
      </c>
      <c r="B43" t="s">
        <v>53</v>
      </c>
      <c r="C43" s="39" t="n">
        <v>0.782178217821782</v>
      </c>
      <c r="D43" t="n">
        <v>101</v>
      </c>
      <c r="E43" s="39" t="n">
        <v>0.762376237623762</v>
      </c>
      <c r="F43" t="n">
        <v>101</v>
      </c>
      <c r="G43" s="39" t="n">
        <v>0.765957446808511</v>
      </c>
      <c r="H43" t="n">
        <v>47</v>
      </c>
      <c r="I43" s="39" t="n">
        <v>0.74468085106383</v>
      </c>
      <c r="J43" t="n">
        <v>47</v>
      </c>
      <c r="K43" s="39" t="n">
        <v>0.796296296296296</v>
      </c>
      <c r="L43" t="n">
        <v>54</v>
      </c>
      <c r="M43" s="39" t="n">
        <v>0.777777777777778</v>
      </c>
      <c r="N43" s="12" t="n">
        <v>54</v>
      </c>
    </row>
    <row r="44" outlineLevel="1" hidden="0">
      <c r="A44" s="7" t="s">
        <v>15</v>
      </c>
      <c r="B44" t="s">
        <v>54</v>
      </c>
      <c r="C44" s="39" t="n">
        <v>0.915789473684211</v>
      </c>
      <c r="D44" t="n">
        <v>95</v>
      </c>
      <c r="E44" s="39" t="n">
        <v>0.873684210526316</v>
      </c>
      <c r="F44" t="n">
        <v>95</v>
      </c>
      <c r="G44" s="39" t="n">
        <v>0.884615384615385</v>
      </c>
      <c r="H44" t="n">
        <v>52</v>
      </c>
      <c r="I44" s="39" t="n">
        <v>0.826923076923077</v>
      </c>
      <c r="J44" t="n">
        <v>52</v>
      </c>
      <c r="K44" s="39" t="n">
        <v>0.953488372093023</v>
      </c>
      <c r="L44" t="n">
        <v>43</v>
      </c>
      <c r="M44" s="39" t="n">
        <v>0.930232558139535</v>
      </c>
      <c r="N44" s="12" t="n">
        <v>43</v>
      </c>
    </row>
    <row r="45" outlineLevel="1" hidden="0">
      <c r="A45" s="7" t="s">
        <v>15</v>
      </c>
      <c r="B45" t="s">
        <v>55</v>
      </c>
      <c r="C45" s="39" t="n">
        <v>0.938461538461538</v>
      </c>
      <c r="D45" t="n">
        <v>65</v>
      </c>
      <c r="E45" s="39" t="n">
        <v>0.892307692307692</v>
      </c>
      <c r="F45" t="n">
        <v>65</v>
      </c>
      <c r="G45" s="39" t="n">
        <v>0.964285714285714</v>
      </c>
      <c r="H45" t="n">
        <v>28</v>
      </c>
      <c r="I45" s="39" t="n">
        <v>0.928571428571428</v>
      </c>
      <c r="J45" t="n">
        <v>28</v>
      </c>
      <c r="K45" s="39" t="n">
        <v>0.918918918918919</v>
      </c>
      <c r="L45" t="n">
        <v>37</v>
      </c>
      <c r="M45" s="39" t="n">
        <v>0.864864864864865</v>
      </c>
      <c r="N45" s="12" t="n">
        <v>37</v>
      </c>
    </row>
    <row r="46" outlineLevel="1" hidden="0">
      <c r="A46" s="8" t="s">
        <v>15</v>
      </c>
      <c r="B46" s="10" t="s">
        <v>56</v>
      </c>
      <c r="C46" s="38" t="n">
        <v>0.851851851851852</v>
      </c>
      <c r="D46" s="10" t="n">
        <v>54</v>
      </c>
      <c r="E46" s="38" t="n">
        <v>0.833333333333333</v>
      </c>
      <c r="F46" s="10" t="n">
        <v>54</v>
      </c>
      <c r="G46" s="38" t="n">
        <v>0.84</v>
      </c>
      <c r="H46" s="10" t="n">
        <v>25</v>
      </c>
      <c r="I46" s="38" t="n">
        <v>0.8</v>
      </c>
      <c r="J46" s="10" t="n">
        <v>25</v>
      </c>
      <c r="K46" s="38" t="n">
        <v>0.862068965517241</v>
      </c>
      <c r="L46" s="10" t="n">
        <v>29</v>
      </c>
      <c r="M46" s="38" t="n">
        <v>0.862068965517241</v>
      </c>
      <c r="N46" s="13" t="n">
        <v>29</v>
      </c>
    </row>
    <row r="47">
      <c r="C47" s="39"/>
      <c r="E47" s="39"/>
      <c r="G47" s="39"/>
      <c r="I47" s="39"/>
      <c r="K47" s="39"/>
      <c r="M47" s="39"/>
    </row>
    <row r="48">
      <c r="A48" s="2" t="s">
        <v>57</v>
      </c>
      <c r="B48" s="2"/>
      <c r="C48" s="35"/>
      <c r="D48" s="2"/>
      <c r="E48" s="35"/>
      <c r="F48" s="2"/>
      <c r="G48" s="35"/>
      <c r="H48" s="2"/>
      <c r="I48" s="35"/>
      <c r="J48" s="2"/>
      <c r="K48" s="35"/>
      <c r="L48" s="2"/>
      <c r="M48" s="35"/>
      <c r="N48" s="2"/>
    </row>
    <row r="49" outlineLevel="1" hidden="0">
      <c r="A49" s="6" t="s">
        <v>15</v>
      </c>
      <c r="B49" s="9" t="s">
        <v>58</v>
      </c>
      <c r="C49" s="37" t="n">
        <v>0.666666666666667</v>
      </c>
      <c r="D49" s="9" t="n">
        <v>3</v>
      </c>
      <c r="E49" s="37" t="n">
        <v>0.666666666666667</v>
      </c>
      <c r="F49" s="9" t="n">
        <v>3</v>
      </c>
      <c r="G49" s="37" t="n">
        <v>1</v>
      </c>
      <c r="H49" s="9" t="n">
        <v>1</v>
      </c>
      <c r="I49" s="37" t="n">
        <v>1</v>
      </c>
      <c r="J49" s="9" t="n">
        <v>1</v>
      </c>
      <c r="K49" s="37" t="n">
        <v>0.5</v>
      </c>
      <c r="L49" s="9" t="n">
        <v>2</v>
      </c>
      <c r="M49" s="37" t="n">
        <v>0.5</v>
      </c>
      <c r="N49" s="11" t="n">
        <v>2</v>
      </c>
    </row>
    <row r="50" outlineLevel="1" hidden="0">
      <c r="A50" s="7" t="s">
        <v>15</v>
      </c>
      <c r="B50" t="s">
        <v>59</v>
      </c>
      <c r="C50" s="39" t="n">
        <v>0.816624040487601</v>
      </c>
      <c r="D50" t="n">
        <v>203</v>
      </c>
      <c r="E50" s="39" t="n">
        <v>0.785677241830995</v>
      </c>
      <c r="F50" t="n">
        <v>203</v>
      </c>
      <c r="G50" s="39" t="n">
        <v>0.898899494610475</v>
      </c>
      <c r="H50" t="n">
        <v>109</v>
      </c>
      <c r="I50" s="39" t="n">
        <v>0.872383782640457</v>
      </c>
      <c r="J50" t="n">
        <v>109</v>
      </c>
      <c r="K50" s="39" t="n">
        <v>0.721877240356205</v>
      </c>
      <c r="L50" t="n">
        <v>94</v>
      </c>
      <c r="M50" s="39" t="n">
        <v>0.68582768913342</v>
      </c>
      <c r="N50" s="12" t="n">
        <v>94</v>
      </c>
    </row>
    <row r="51" outlineLevel="1" hidden="0">
      <c r="A51" s="7" t="s">
        <v>15</v>
      </c>
      <c r="B51" t="s">
        <v>61</v>
      </c>
      <c r="C51" s="39" t="n">
        <v>0.247474705087945</v>
      </c>
      <c r="D51" t="n">
        <v>5</v>
      </c>
      <c r="E51" s="39" t="n">
        <v>0.247474705087945</v>
      </c>
      <c r="F51" t="n">
        <v>5</v>
      </c>
      <c r="G51" s="39" t="n">
        <v>0.197846531846292</v>
      </c>
      <c r="H51" t="n">
        <v>3</v>
      </c>
      <c r="I51" s="39" t="n">
        <v>0.197846531846292</v>
      </c>
      <c r="J51" t="n">
        <v>3</v>
      </c>
      <c r="K51" s="39" t="n">
        <v>0.33033702830252</v>
      </c>
      <c r="L51" t="n">
        <v>2</v>
      </c>
      <c r="M51" s="39" t="n">
        <v>0.33033702830252</v>
      </c>
      <c r="N51" s="12" t="n">
        <v>2</v>
      </c>
    </row>
    <row r="52" outlineLevel="1" hidden="0">
      <c r="A52" s="7" t="s">
        <v>15</v>
      </c>
      <c r="B52" t="s">
        <v>63</v>
      </c>
      <c r="C52" s="39" t="n">
        <v>0.976306510611047</v>
      </c>
      <c r="D52" t="n">
        <v>23</v>
      </c>
      <c r="E52" s="39" t="n">
        <v>0.976306510611047</v>
      </c>
      <c r="F52" t="n">
        <v>23</v>
      </c>
      <c r="G52" s="39" t="n">
        <v>1</v>
      </c>
      <c r="H52" t="n">
        <v>14</v>
      </c>
      <c r="I52" s="39" t="n">
        <v>1</v>
      </c>
      <c r="J52" t="n">
        <v>14</v>
      </c>
      <c r="K52" s="39" t="n">
        <v>0.947091695663157</v>
      </c>
      <c r="L52" t="n">
        <v>9</v>
      </c>
      <c r="M52" s="39" t="n">
        <v>0.947091695663157</v>
      </c>
      <c r="N52" s="12" t="n">
        <v>9</v>
      </c>
    </row>
    <row r="53" outlineLevel="1" hidden="0">
      <c r="A53" s="7" t="s">
        <v>15</v>
      </c>
      <c r="B53" t="s">
        <v>67</v>
      </c>
      <c r="C53" s="39" t="n">
        <v>0.641841295989584</v>
      </c>
      <c r="D53" t="n">
        <v>35</v>
      </c>
      <c r="E53" s="39" t="n">
        <v>0.641841295989584</v>
      </c>
      <c r="F53" t="n">
        <v>35</v>
      </c>
      <c r="G53" s="39" t="n">
        <v>0.679893956409146</v>
      </c>
      <c r="H53" t="n">
        <v>18</v>
      </c>
      <c r="I53" s="39" t="n">
        <v>0.679893956409146</v>
      </c>
      <c r="J53" t="n">
        <v>18</v>
      </c>
      <c r="K53" s="39" t="n">
        <v>0.595237821641222</v>
      </c>
      <c r="L53" t="n">
        <v>17</v>
      </c>
      <c r="M53" s="39" t="n">
        <v>0.595237821641222</v>
      </c>
      <c r="N53" s="12" t="n">
        <v>17</v>
      </c>
    </row>
    <row r="54" outlineLevel="1" hidden="0">
      <c r="A54" s="7" t="s">
        <v>15</v>
      </c>
      <c r="B54" t="s">
        <v>71</v>
      </c>
      <c r="C54" s="39" t="n">
        <v>1</v>
      </c>
      <c r="D54" t="n">
        <v>2</v>
      </c>
      <c r="E54" s="39" t="n">
        <v>1</v>
      </c>
      <c r="F54" t="n">
        <v>2</v>
      </c>
      <c r="G54" s="39" t="n">
        <v>1</v>
      </c>
      <c r="H54" t="n">
        <v>1</v>
      </c>
      <c r="I54" s="39" t="n">
        <v>1</v>
      </c>
      <c r="J54" t="n">
        <v>1</v>
      </c>
      <c r="K54" s="39" t="n">
        <v>1</v>
      </c>
      <c r="L54" t="n">
        <v>1</v>
      </c>
      <c r="M54" s="39" t="n">
        <v>1</v>
      </c>
      <c r="N54" s="12" t="n">
        <v>1</v>
      </c>
    </row>
    <row r="55" outlineLevel="1" hidden="0">
      <c r="A55" s="7" t="s">
        <v>15</v>
      </c>
      <c r="B55" t="s">
        <v>72</v>
      </c>
      <c r="C55" s="39" t="n">
        <v>1</v>
      </c>
      <c r="D55" t="n">
        <v>12</v>
      </c>
      <c r="E55" s="39" t="n">
        <v>1</v>
      </c>
      <c r="F55" t="n">
        <v>12</v>
      </c>
      <c r="G55" s="39" t="n">
        <v>1</v>
      </c>
      <c r="H55" t="n">
        <v>7</v>
      </c>
      <c r="I55" s="39" t="n">
        <v>1</v>
      </c>
      <c r="J55" t="n">
        <v>7</v>
      </c>
      <c r="K55" s="39" t="n">
        <v>1</v>
      </c>
      <c r="L55" t="n">
        <v>5</v>
      </c>
      <c r="M55" s="39" t="n">
        <v>1</v>
      </c>
      <c r="N55" s="12" t="n">
        <v>5</v>
      </c>
    </row>
    <row r="56" outlineLevel="1" hidden="0">
      <c r="A56" s="7" t="s">
        <v>15</v>
      </c>
      <c r="B56" t="s">
        <v>75</v>
      </c>
      <c r="C56" s="39" t="n">
        <v>1</v>
      </c>
      <c r="D56" t="n">
        <v>2</v>
      </c>
      <c r="E56" s="39" t="n">
        <v>1</v>
      </c>
      <c r="F56" t="n">
        <v>2</v>
      </c>
      <c r="G56" s="39" t="n">
        <v>1</v>
      </c>
      <c r="H56" t="n">
        <v>2</v>
      </c>
      <c r="I56" s="39" t="n">
        <v>1</v>
      </c>
      <c r="J56" t="n">
        <v>2</v>
      </c>
      <c r="K56" s="39"/>
      <c r="L56"/>
      <c r="M56" s="39"/>
      <c r="N56" s="12"/>
    </row>
    <row r="57" outlineLevel="1" hidden="0">
      <c r="A57" s="7" t="s">
        <v>15</v>
      </c>
      <c r="B57" t="s">
        <v>76</v>
      </c>
      <c r="C57" s="39" t="n">
        <v>1</v>
      </c>
      <c r="D57" t="n">
        <v>3</v>
      </c>
      <c r="E57" s="39" t="n">
        <v>1</v>
      </c>
      <c r="F57" t="n">
        <v>3</v>
      </c>
      <c r="G57" s="39"/>
      <c r="H57"/>
      <c r="I57" s="39"/>
      <c r="J57"/>
      <c r="K57" s="39" t="n">
        <v>1</v>
      </c>
      <c r="L57" t="n">
        <v>3</v>
      </c>
      <c r="M57" s="39" t="n">
        <v>1</v>
      </c>
      <c r="N57" s="12" t="n">
        <v>3</v>
      </c>
    </row>
    <row r="58" outlineLevel="1" hidden="0">
      <c r="A58" s="7" t="s">
        <v>15</v>
      </c>
      <c r="B58" t="s">
        <v>78</v>
      </c>
      <c r="C58" s="39" t="n">
        <v>1</v>
      </c>
      <c r="D58" t="n">
        <v>18</v>
      </c>
      <c r="E58" s="39" t="n">
        <v>0.872997541438226</v>
      </c>
      <c r="F58" t="n">
        <v>18</v>
      </c>
      <c r="G58" s="39" t="n">
        <v>1</v>
      </c>
      <c r="H58" t="n">
        <v>8</v>
      </c>
      <c r="I58" s="39" t="n">
        <v>0.78005943088294</v>
      </c>
      <c r="J58" t="n">
        <v>8</v>
      </c>
      <c r="K58" s="39" t="n">
        <v>1</v>
      </c>
      <c r="L58" t="n">
        <v>10</v>
      </c>
      <c r="M58" s="39" t="n">
        <v>1</v>
      </c>
      <c r="N58" s="12" t="n">
        <v>10</v>
      </c>
    </row>
    <row r="59" outlineLevel="1" hidden="0">
      <c r="A59" s="7" t="s">
        <v>15</v>
      </c>
      <c r="B59" t="s">
        <v>81</v>
      </c>
      <c r="C59" s="39" t="n">
        <v>0.951261574950196</v>
      </c>
      <c r="D59" t="n">
        <v>7</v>
      </c>
      <c r="E59" s="39" t="n">
        <v>0.951261574950196</v>
      </c>
      <c r="F59" t="n">
        <v>7</v>
      </c>
      <c r="G59" s="39" t="n">
        <v>1</v>
      </c>
      <c r="H59" t="n">
        <v>2</v>
      </c>
      <c r="I59" s="39" t="n">
        <v>1</v>
      </c>
      <c r="J59" t="n">
        <v>2</v>
      </c>
      <c r="K59" s="39" t="n">
        <v>0.941525220579723</v>
      </c>
      <c r="L59" t="n">
        <v>5</v>
      </c>
      <c r="M59" s="39" t="n">
        <v>0.941525220579723</v>
      </c>
      <c r="N59" s="12" t="n">
        <v>5</v>
      </c>
    </row>
    <row r="60" outlineLevel="1" hidden="0">
      <c r="A60" s="7" t="s">
        <v>15</v>
      </c>
      <c r="B60" t="s">
        <v>82</v>
      </c>
      <c r="C60" s="39" t="n">
        <v>0.668458900010117</v>
      </c>
      <c r="D60" t="n">
        <v>17</v>
      </c>
      <c r="E60" s="39" t="n">
        <v>0.668458900010117</v>
      </c>
      <c r="F60" t="n">
        <v>17</v>
      </c>
      <c r="G60" s="39" t="n">
        <v>0.734585160363943</v>
      </c>
      <c r="H60" t="n">
        <v>9</v>
      </c>
      <c r="I60" s="39" t="n">
        <v>0.734585160363943</v>
      </c>
      <c r="J60" t="n">
        <v>9</v>
      </c>
      <c r="K60" s="39" t="n">
        <v>0.622721531234712</v>
      </c>
      <c r="L60" t="n">
        <v>8</v>
      </c>
      <c r="M60" s="39" t="n">
        <v>0.622721531234712</v>
      </c>
      <c r="N60" s="12" t="n">
        <v>8</v>
      </c>
    </row>
    <row r="61" outlineLevel="1" hidden="0">
      <c r="A61" s="7" t="s">
        <v>15</v>
      </c>
      <c r="B61" t="s">
        <v>86</v>
      </c>
      <c r="C61" s="39" t="n">
        <v>0.698049427847065</v>
      </c>
      <c r="D61" t="n">
        <v>41</v>
      </c>
      <c r="E61" s="39" t="n">
        <v>0.698049427847065</v>
      </c>
      <c r="F61" t="n">
        <v>41</v>
      </c>
      <c r="G61" s="39" t="n">
        <v>0.698688136490263</v>
      </c>
      <c r="H61" t="n">
        <v>26</v>
      </c>
      <c r="I61" s="39" t="n">
        <v>0.698688136490263</v>
      </c>
      <c r="J61" t="n">
        <v>26</v>
      </c>
      <c r="K61" s="39" t="n">
        <v>0.697018590847218</v>
      </c>
      <c r="L61" t="n">
        <v>15</v>
      </c>
      <c r="M61" s="39" t="n">
        <v>0.697018590847218</v>
      </c>
      <c r="N61" s="12" t="n">
        <v>15</v>
      </c>
    </row>
    <row r="62" outlineLevel="1" hidden="0">
      <c r="A62" s="7" t="s">
        <v>15</v>
      </c>
      <c r="B62" t="s">
        <v>87</v>
      </c>
      <c r="C62" s="39" t="n">
        <v>0.717112225317304</v>
      </c>
      <c r="D62" t="n">
        <v>31</v>
      </c>
      <c r="E62" s="39" t="n">
        <v>0.717112225317304</v>
      </c>
      <c r="F62" t="n">
        <v>31</v>
      </c>
      <c r="G62" s="39" t="n">
        <v>0.657026231568665</v>
      </c>
      <c r="H62" t="n">
        <v>16</v>
      </c>
      <c r="I62" s="39" t="n">
        <v>0.657026231568665</v>
      </c>
      <c r="J62" t="n">
        <v>16</v>
      </c>
      <c r="K62" s="39" t="n">
        <v>0.755693760634419</v>
      </c>
      <c r="L62" t="n">
        <v>15</v>
      </c>
      <c r="M62" s="39" t="n">
        <v>0.755693760634419</v>
      </c>
      <c r="N62" s="12" t="n">
        <v>15</v>
      </c>
    </row>
    <row r="63" outlineLevel="1" hidden="0">
      <c r="A63" s="7" t="s">
        <v>15</v>
      </c>
      <c r="B63" t="s">
        <v>89</v>
      </c>
      <c r="C63" s="39" t="n">
        <v>0.917363699819248</v>
      </c>
      <c r="D63" t="n">
        <v>402</v>
      </c>
      <c r="E63" s="39" t="n">
        <v>0.901188003744873</v>
      </c>
      <c r="F63" t="n">
        <v>402</v>
      </c>
      <c r="G63" s="39" t="n">
        <v>0.935174024672173</v>
      </c>
      <c r="H63" t="n">
        <v>225</v>
      </c>
      <c r="I63" s="39" t="n">
        <v>0.915293044272534</v>
      </c>
      <c r="J63" t="n">
        <v>225</v>
      </c>
      <c r="K63" s="39" t="n">
        <v>0.895513814473538</v>
      </c>
      <c r="L63" t="n">
        <v>177</v>
      </c>
      <c r="M63" s="39" t="n">
        <v>0.883883798410551</v>
      </c>
      <c r="N63" s="12" t="n">
        <v>177</v>
      </c>
    </row>
    <row r="64" outlineLevel="1" hidden="0">
      <c r="A64" s="7" t="s">
        <v>15</v>
      </c>
      <c r="B64" t="s">
        <v>90</v>
      </c>
      <c r="C64" s="39" t="n">
        <v>0.94239729026353</v>
      </c>
      <c r="D64" t="n">
        <v>30</v>
      </c>
      <c r="E64" s="39" t="n">
        <v>0.924511543558535</v>
      </c>
      <c r="F64" t="n">
        <v>30</v>
      </c>
      <c r="G64" s="39" t="n">
        <v>0.970076481419814</v>
      </c>
      <c r="H64" t="n">
        <v>14</v>
      </c>
      <c r="I64" s="39" t="n">
        <v>0.970076481419814</v>
      </c>
      <c r="J64" t="n">
        <v>14</v>
      </c>
      <c r="K64" s="39" t="n">
        <v>0.924830656796892</v>
      </c>
      <c r="L64" t="n">
        <v>16</v>
      </c>
      <c r="M64" s="39" t="n">
        <v>0.89559369845895</v>
      </c>
      <c r="N64" s="12" t="n">
        <v>16</v>
      </c>
    </row>
    <row r="65" outlineLevel="1" hidden="0">
      <c r="A65" s="7" t="s">
        <v>15</v>
      </c>
      <c r="B65" t="s">
        <v>91</v>
      </c>
      <c r="C65" s="39" t="n">
        <v>1</v>
      </c>
      <c r="D65" t="n">
        <v>4</v>
      </c>
      <c r="E65" s="39" t="n">
        <v>1</v>
      </c>
      <c r="F65" t="n">
        <v>4</v>
      </c>
      <c r="G65" s="39" t="n">
        <v>1</v>
      </c>
      <c r="H65" t="n">
        <v>1</v>
      </c>
      <c r="I65" s="39" t="n">
        <v>1</v>
      </c>
      <c r="J65" t="n">
        <v>1</v>
      </c>
      <c r="K65" s="39" t="n">
        <v>1</v>
      </c>
      <c r="L65" t="n">
        <v>3</v>
      </c>
      <c r="M65" s="39" t="n">
        <v>1</v>
      </c>
      <c r="N65" s="12" t="n">
        <v>3</v>
      </c>
    </row>
    <row r="66" outlineLevel="1" hidden="0">
      <c r="A66" s="7" t="s">
        <v>15</v>
      </c>
      <c r="B66" t="s">
        <v>95</v>
      </c>
      <c r="C66" s="39" t="n">
        <v>1</v>
      </c>
      <c r="D66" t="n">
        <v>5</v>
      </c>
      <c r="E66" s="39" t="n">
        <v>1</v>
      </c>
      <c r="F66" t="n">
        <v>5</v>
      </c>
      <c r="G66" s="39" t="n">
        <v>1</v>
      </c>
      <c r="H66" t="n">
        <v>1</v>
      </c>
      <c r="I66" s="39" t="n">
        <v>1</v>
      </c>
      <c r="J66" t="n">
        <v>1</v>
      </c>
      <c r="K66" s="39" t="n">
        <v>1</v>
      </c>
      <c r="L66" t="n">
        <v>4</v>
      </c>
      <c r="M66" s="39" t="n">
        <v>1</v>
      </c>
      <c r="N66" s="12" t="n">
        <v>4</v>
      </c>
    </row>
    <row r="67" outlineLevel="1" hidden="0">
      <c r="A67" s="7" t="s">
        <v>15</v>
      </c>
      <c r="B67" t="s">
        <v>96</v>
      </c>
      <c r="C67" s="39" t="n">
        <v>0.937519921701722</v>
      </c>
      <c r="D67" t="n">
        <v>41</v>
      </c>
      <c r="E67" s="39" t="n">
        <v>0.895962116150343</v>
      </c>
      <c r="F67" t="n">
        <v>41</v>
      </c>
      <c r="G67" s="39" t="n">
        <v>0.923039643944364</v>
      </c>
      <c r="H67" t="n">
        <v>14</v>
      </c>
      <c r="I67" s="39" t="n">
        <v>0.804200843769776</v>
      </c>
      <c r="J67" t="n">
        <v>14</v>
      </c>
      <c r="K67" s="39" t="n">
        <v>0.945306681826953</v>
      </c>
      <c r="L67" t="n">
        <v>27</v>
      </c>
      <c r="M67" s="39" t="n">
        <v>0.945306681826953</v>
      </c>
      <c r="N67" s="12" t="n">
        <v>27</v>
      </c>
    </row>
    <row r="68" outlineLevel="1" hidden="0">
      <c r="A68" s="7" t="s">
        <v>15</v>
      </c>
      <c r="B68" t="s">
        <v>104</v>
      </c>
      <c r="C68" s="39" t="n">
        <v>0.803552635856844</v>
      </c>
      <c r="D68" t="n">
        <v>14</v>
      </c>
      <c r="E68" s="39" t="n">
        <v>0.803552635856844</v>
      </c>
      <c r="F68" t="n">
        <v>14</v>
      </c>
      <c r="G68" s="39" t="n">
        <v>1</v>
      </c>
      <c r="H68" t="n">
        <v>9</v>
      </c>
      <c r="I68" s="39" t="n">
        <v>1</v>
      </c>
      <c r="J68" t="n">
        <v>9</v>
      </c>
      <c r="K68" s="39" t="n">
        <v>0.572951265049186</v>
      </c>
      <c r="L68" t="n">
        <v>5</v>
      </c>
      <c r="M68" s="39" t="n">
        <v>0.572951265049186</v>
      </c>
      <c r="N68" s="12" t="n">
        <v>5</v>
      </c>
    </row>
    <row r="69" outlineLevel="1" hidden="0">
      <c r="A69" s="7" t="s">
        <v>15</v>
      </c>
      <c r="B69" t="s">
        <v>106</v>
      </c>
      <c r="C69" s="39" t="n">
        <v>0.976223862065047</v>
      </c>
      <c r="D69" t="n">
        <v>25</v>
      </c>
      <c r="E69" s="39" t="n">
        <v>0.976223862065047</v>
      </c>
      <c r="F69" t="n">
        <v>25</v>
      </c>
      <c r="G69" s="39" t="n">
        <v>1</v>
      </c>
      <c r="H69" t="n">
        <v>16</v>
      </c>
      <c r="I69" s="39" t="n">
        <v>1</v>
      </c>
      <c r="J69" t="n">
        <v>16</v>
      </c>
      <c r="K69" s="39" t="n">
        <v>0.910358325253472</v>
      </c>
      <c r="L69" t="n">
        <v>9</v>
      </c>
      <c r="M69" s="39" t="n">
        <v>0.910358325253472</v>
      </c>
      <c r="N69" s="12" t="n">
        <v>9</v>
      </c>
    </row>
    <row r="70" outlineLevel="1" hidden="0">
      <c r="A70" s="7" t="s">
        <v>15</v>
      </c>
      <c r="B70" t="s">
        <v>109</v>
      </c>
      <c r="C70" s="39" t="n">
        <v>0.853955806629314</v>
      </c>
      <c r="D70" t="n">
        <v>273</v>
      </c>
      <c r="E70" s="39" t="n">
        <v>0.836954670065734</v>
      </c>
      <c r="F70" t="n">
        <v>273</v>
      </c>
      <c r="G70" s="39" t="n">
        <v>0.861823108414639</v>
      </c>
      <c r="H70" t="n">
        <v>129</v>
      </c>
      <c r="I70" s="39" t="n">
        <v>0.834224893103467</v>
      </c>
      <c r="J70" t="n">
        <v>129</v>
      </c>
      <c r="K70" s="39" t="n">
        <v>0.847282663192321</v>
      </c>
      <c r="L70" t="n">
        <v>144</v>
      </c>
      <c r="M70" s="39" t="n">
        <v>0.839270100910675</v>
      </c>
      <c r="N70" s="12" t="n">
        <v>144</v>
      </c>
    </row>
    <row r="71" outlineLevel="1" hidden="0">
      <c r="A71" s="7" t="s">
        <v>15</v>
      </c>
      <c r="B71" t="s">
        <v>110</v>
      </c>
      <c r="C71" s="39" t="n">
        <v>1</v>
      </c>
      <c r="D71" t="n">
        <v>28</v>
      </c>
      <c r="E71" s="39" t="n">
        <v>0.98860344098302</v>
      </c>
      <c r="F71" t="n">
        <v>28</v>
      </c>
      <c r="G71" s="39" t="n">
        <v>1</v>
      </c>
      <c r="H71" t="n">
        <v>10</v>
      </c>
      <c r="I71" s="39" t="n">
        <v>0.96483529804581</v>
      </c>
      <c r="J71" t="n">
        <v>10</v>
      </c>
      <c r="K71" s="39" t="n">
        <v>1</v>
      </c>
      <c r="L71" t="n">
        <v>18</v>
      </c>
      <c r="M71" s="39" t="n">
        <v>1</v>
      </c>
      <c r="N71" s="12" t="n">
        <v>18</v>
      </c>
    </row>
    <row r="72" outlineLevel="1" hidden="0">
      <c r="A72" s="7" t="s">
        <v>15</v>
      </c>
      <c r="B72" t="s">
        <v>112</v>
      </c>
      <c r="C72" s="39" t="n">
        <v>0.72789663429725</v>
      </c>
      <c r="D72" t="n">
        <v>5</v>
      </c>
      <c r="E72" s="39" t="n">
        <v>0.72789663429725</v>
      </c>
      <c r="F72" t="n">
        <v>5</v>
      </c>
      <c r="G72" s="39" t="n">
        <v>0.640724929406647</v>
      </c>
      <c r="H72" t="n">
        <v>4</v>
      </c>
      <c r="I72" s="39" t="n">
        <v>0.640724929406647</v>
      </c>
      <c r="J72" t="n">
        <v>4</v>
      </c>
      <c r="K72" s="39" t="n">
        <v>1</v>
      </c>
      <c r="L72" t="n">
        <v>1</v>
      </c>
      <c r="M72" s="39" t="n">
        <v>1</v>
      </c>
      <c r="N72" s="12" t="n">
        <v>1</v>
      </c>
    </row>
    <row r="73" outlineLevel="1" hidden="0">
      <c r="A73" s="7" t="s">
        <v>15</v>
      </c>
      <c r="B73" t="s">
        <v>113</v>
      </c>
      <c r="C73" s="39" t="n">
        <v>1</v>
      </c>
      <c r="D73" t="n">
        <v>3</v>
      </c>
      <c r="E73" s="39" t="n">
        <v>1</v>
      </c>
      <c r="F73" t="n">
        <v>3</v>
      </c>
      <c r="G73" s="39" t="n">
        <v>1</v>
      </c>
      <c r="H73" t="n">
        <v>2</v>
      </c>
      <c r="I73" s="39" t="n">
        <v>1</v>
      </c>
      <c r="J73" t="n">
        <v>2</v>
      </c>
      <c r="K73" s="39" t="n">
        <v>1</v>
      </c>
      <c r="L73" t="n">
        <v>1</v>
      </c>
      <c r="M73" s="39" t="n">
        <v>1</v>
      </c>
      <c r="N73" s="12" t="n">
        <v>1</v>
      </c>
    </row>
    <row r="74" outlineLevel="1" hidden="0">
      <c r="A74" s="7" t="s">
        <v>15</v>
      </c>
      <c r="B74" t="s">
        <v>114</v>
      </c>
      <c r="C74" s="39" t="n">
        <v>0.82843066678811</v>
      </c>
      <c r="D74" t="n">
        <v>28</v>
      </c>
      <c r="E74" s="39" t="n">
        <v>0.82843066678811</v>
      </c>
      <c r="F74" t="n">
        <v>28</v>
      </c>
      <c r="G74" s="39" t="n">
        <v>0.714810831249438</v>
      </c>
      <c r="H74" t="n">
        <v>12</v>
      </c>
      <c r="I74" s="39" t="n">
        <v>0.714810831249438</v>
      </c>
      <c r="J74" t="n">
        <v>12</v>
      </c>
      <c r="K74" s="39" t="n">
        <v>0.909874907789687</v>
      </c>
      <c r="L74" t="n">
        <v>16</v>
      </c>
      <c r="M74" s="39" t="n">
        <v>0.909874907789687</v>
      </c>
      <c r="N74" s="12" t="n">
        <v>16</v>
      </c>
    </row>
    <row r="75" outlineLevel="1" hidden="0">
      <c r="A75" s="7" t="s">
        <v>15</v>
      </c>
      <c r="B75" t="s">
        <v>115</v>
      </c>
      <c r="C75" s="39" t="n">
        <v>1</v>
      </c>
      <c r="D75" t="n">
        <v>2</v>
      </c>
      <c r="E75" s="39" t="n">
        <v>1</v>
      </c>
      <c r="F75" t="n">
        <v>2</v>
      </c>
      <c r="G75" s="39" t="n">
        <v>1</v>
      </c>
      <c r="H75" t="n">
        <v>1</v>
      </c>
      <c r="I75" s="39" t="n">
        <v>1</v>
      </c>
      <c r="J75" t="n">
        <v>1</v>
      </c>
      <c r="K75" s="39" t="n">
        <v>1</v>
      </c>
      <c r="L75" t="n">
        <v>1</v>
      </c>
      <c r="M75" s="39" t="n">
        <v>1</v>
      </c>
      <c r="N75" s="12" t="n">
        <v>1</v>
      </c>
    </row>
    <row r="76" outlineLevel="1" hidden="0">
      <c r="A76" s="7" t="s">
        <v>15</v>
      </c>
      <c r="B76" t="s">
        <v>116</v>
      </c>
      <c r="C76" s="39" t="n">
        <v>1</v>
      </c>
      <c r="D76" t="n">
        <v>4</v>
      </c>
      <c r="E76" s="39" t="n">
        <v>1</v>
      </c>
      <c r="F76" t="n">
        <v>4</v>
      </c>
      <c r="G76" s="39" t="n">
        <v>1</v>
      </c>
      <c r="H76" t="n">
        <v>2</v>
      </c>
      <c r="I76" s="39" t="n">
        <v>1</v>
      </c>
      <c r="J76" t="n">
        <v>2</v>
      </c>
      <c r="K76" s="39" t="n">
        <v>1</v>
      </c>
      <c r="L76" t="n">
        <v>2</v>
      </c>
      <c r="M76" s="39" t="n">
        <v>1</v>
      </c>
      <c r="N76" s="12" t="n">
        <v>2</v>
      </c>
    </row>
    <row r="77" outlineLevel="1" hidden="0">
      <c r="A77" s="7" t="s">
        <v>15</v>
      </c>
      <c r="B77" t="s">
        <v>117</v>
      </c>
      <c r="C77" s="39" t="n">
        <v>1</v>
      </c>
      <c r="D77" t="n">
        <v>1</v>
      </c>
      <c r="E77" s="39" t="n">
        <v>1</v>
      </c>
      <c r="F77" t="n">
        <v>1</v>
      </c>
      <c r="G77" s="39" t="n">
        <v>1</v>
      </c>
      <c r="H77" t="n">
        <v>1</v>
      </c>
      <c r="I77" s="39" t="n">
        <v>1</v>
      </c>
      <c r="J77" t="n">
        <v>1</v>
      </c>
      <c r="K77" s="39"/>
      <c r="L77"/>
      <c r="M77" s="39"/>
      <c r="N77" s="12"/>
    </row>
    <row r="78" outlineLevel="1" hidden="0">
      <c r="A78" s="7" t="s">
        <v>15</v>
      </c>
      <c r="B78" t="s">
        <v>119</v>
      </c>
      <c r="C78" s="39" t="n">
        <v>0.855834953406011</v>
      </c>
      <c r="D78" t="n">
        <v>20</v>
      </c>
      <c r="E78" s="39" t="n">
        <v>0.772657606537255</v>
      </c>
      <c r="F78" t="n">
        <v>20</v>
      </c>
      <c r="G78" s="39" t="n">
        <v>1</v>
      </c>
      <c r="H78" t="n">
        <v>14</v>
      </c>
      <c r="I78" s="39" t="n">
        <v>0.875370739335055</v>
      </c>
      <c r="J78" t="n">
        <v>14</v>
      </c>
      <c r="K78" s="39" t="n">
        <v>0.566553591250881</v>
      </c>
      <c r="L78" t="n">
        <v>6</v>
      </c>
      <c r="M78" s="39" t="n">
        <v>0.566553591250881</v>
      </c>
      <c r="N78" s="12" t="n">
        <v>6</v>
      </c>
    </row>
    <row r="79" outlineLevel="1" hidden="0">
      <c r="A79" s="7" t="s">
        <v>15</v>
      </c>
      <c r="B79" t="s">
        <v>121</v>
      </c>
      <c r="C79" s="39" t="n">
        <v>0.440634886103371</v>
      </c>
      <c r="D79" t="n">
        <v>31</v>
      </c>
      <c r="E79" s="39" t="n">
        <v>0.440634886103371</v>
      </c>
      <c r="F79" t="n">
        <v>31</v>
      </c>
      <c r="G79" s="39" t="n">
        <v>0.535123071420744</v>
      </c>
      <c r="H79" t="n">
        <v>14</v>
      </c>
      <c r="I79" s="39" t="n">
        <v>0.535123071420744</v>
      </c>
      <c r="J79" t="n">
        <v>14</v>
      </c>
      <c r="K79" s="39" t="n">
        <v>0.36429114844051</v>
      </c>
      <c r="L79" t="n">
        <v>17</v>
      </c>
      <c r="M79" s="39" t="n">
        <v>0.36429114844051</v>
      </c>
      <c r="N79" s="12" t="n">
        <v>17</v>
      </c>
    </row>
    <row r="80" outlineLevel="1" hidden="0">
      <c r="A80" s="7" t="s">
        <v>15</v>
      </c>
      <c r="B80" t="s">
        <v>122</v>
      </c>
      <c r="C80" s="39" t="n">
        <v>0.990227038972025</v>
      </c>
      <c r="D80" t="n">
        <v>36</v>
      </c>
      <c r="E80" s="39" t="n">
        <v>0.983558213276868</v>
      </c>
      <c r="F80" t="n">
        <v>36</v>
      </c>
      <c r="G80" s="39" t="n">
        <v>0.98155300663187</v>
      </c>
      <c r="H80" t="n">
        <v>17</v>
      </c>
      <c r="I80" s="39" t="n">
        <v>0.98155300663187</v>
      </c>
      <c r="J80" t="n">
        <v>17</v>
      </c>
      <c r="K80" s="39" t="n">
        <v>1</v>
      </c>
      <c r="L80" t="n">
        <v>19</v>
      </c>
      <c r="M80" s="39" t="n">
        <v>0.985817463141996</v>
      </c>
      <c r="N80" s="12" t="n">
        <v>19</v>
      </c>
    </row>
    <row r="81" outlineLevel="1" hidden="0">
      <c r="A81" s="7" t="s">
        <v>15</v>
      </c>
      <c r="B81" t="s">
        <v>128</v>
      </c>
      <c r="C81" s="39" t="n">
        <v>1</v>
      </c>
      <c r="D81" t="n">
        <v>8</v>
      </c>
      <c r="E81" s="39" t="n">
        <v>1</v>
      </c>
      <c r="F81" t="n">
        <v>8</v>
      </c>
      <c r="G81" s="39" t="n">
        <v>1</v>
      </c>
      <c r="H81" t="n">
        <v>3</v>
      </c>
      <c r="I81" s="39" t="n">
        <v>1</v>
      </c>
      <c r="J81" t="n">
        <v>3</v>
      </c>
      <c r="K81" s="39" t="n">
        <v>1</v>
      </c>
      <c r="L81" t="n">
        <v>5</v>
      </c>
      <c r="M81" s="39" t="n">
        <v>1</v>
      </c>
      <c r="N81" s="12" t="n">
        <v>5</v>
      </c>
    </row>
    <row r="82" outlineLevel="1" hidden="0">
      <c r="A82" s="7" t="s">
        <v>15</v>
      </c>
      <c r="B82" t="s">
        <v>130</v>
      </c>
      <c r="C82" s="39" t="n">
        <v>0.963449195252914</v>
      </c>
      <c r="D82" t="n">
        <v>58</v>
      </c>
      <c r="E82" s="39" t="n">
        <v>0.963449195252914</v>
      </c>
      <c r="F82" t="n">
        <v>58</v>
      </c>
      <c r="G82" s="39" t="n">
        <v>0.934839840006672</v>
      </c>
      <c r="H82" t="n">
        <v>31</v>
      </c>
      <c r="I82" s="39" t="n">
        <v>0.934839840006672</v>
      </c>
      <c r="J82" t="n">
        <v>31</v>
      </c>
      <c r="K82" s="39" t="n">
        <v>0.994352550633891</v>
      </c>
      <c r="L82" t="n">
        <v>27</v>
      </c>
      <c r="M82" s="39" t="n">
        <v>0.994352550633891</v>
      </c>
      <c r="N82" s="12" t="n">
        <v>27</v>
      </c>
    </row>
    <row r="83" outlineLevel="1" hidden="0">
      <c r="A83" s="7" t="s">
        <v>15</v>
      </c>
      <c r="B83" t="s">
        <v>135</v>
      </c>
      <c r="C83" s="39" t="n">
        <v>0.950329164931978</v>
      </c>
      <c r="D83" t="n">
        <v>21</v>
      </c>
      <c r="E83" s="39" t="n">
        <v>0.950329164931978</v>
      </c>
      <c r="F83" t="n">
        <v>21</v>
      </c>
      <c r="G83" s="39" t="n">
        <v>0.960239410921259</v>
      </c>
      <c r="H83" t="n">
        <v>12</v>
      </c>
      <c r="I83" s="39" t="n">
        <v>0.960239410921259</v>
      </c>
      <c r="J83" t="n">
        <v>12</v>
      </c>
      <c r="K83" s="39" t="n">
        <v>0.942438300986829</v>
      </c>
      <c r="L83" t="n">
        <v>9</v>
      </c>
      <c r="M83" s="39" t="n">
        <v>0.942438300986829</v>
      </c>
      <c r="N83" s="12" t="n">
        <v>9</v>
      </c>
    </row>
    <row r="84" outlineLevel="1" hidden="0">
      <c r="A84" s="7" t="s">
        <v>15</v>
      </c>
      <c r="B84" t="s">
        <v>136</v>
      </c>
      <c r="C84" s="39" t="n">
        <v>1</v>
      </c>
      <c r="D84" t="n">
        <v>1</v>
      </c>
      <c r="E84" s="39" t="n">
        <v>1</v>
      </c>
      <c r="F84" t="n">
        <v>1</v>
      </c>
      <c r="G84" s="39" t="n">
        <v>1</v>
      </c>
      <c r="H84" t="n">
        <v>1</v>
      </c>
      <c r="I84" s="39" t="n">
        <v>1</v>
      </c>
      <c r="J84" t="n">
        <v>1</v>
      </c>
      <c r="K84" s="39"/>
      <c r="L84"/>
      <c r="M84" s="39"/>
      <c r="N84" s="12"/>
    </row>
    <row r="85" outlineLevel="1" hidden="0">
      <c r="A85" s="7" t="s">
        <v>15</v>
      </c>
      <c r="B85" t="s">
        <v>137</v>
      </c>
      <c r="C85" s="39" t="n">
        <v>1</v>
      </c>
      <c r="D85" t="n">
        <v>2</v>
      </c>
      <c r="E85" s="39" t="n">
        <v>1</v>
      </c>
      <c r="F85" t="n">
        <v>2</v>
      </c>
      <c r="G85" s="39" t="n">
        <v>1</v>
      </c>
      <c r="H85" t="n">
        <v>1</v>
      </c>
      <c r="I85" s="39" t="n">
        <v>1</v>
      </c>
      <c r="J85" t="n">
        <v>1</v>
      </c>
      <c r="K85" s="39" t="n">
        <v>1</v>
      </c>
      <c r="L85" t="n">
        <v>1</v>
      </c>
      <c r="M85" s="39" t="n">
        <v>1</v>
      </c>
      <c r="N85" s="12" t="n">
        <v>1</v>
      </c>
    </row>
    <row r="86" outlineLevel="1" hidden="0">
      <c r="A86" s="7" t="s">
        <v>15</v>
      </c>
      <c r="B86" t="s">
        <v>145</v>
      </c>
      <c r="C86" s="39" t="n">
        <v>0.863257969086315</v>
      </c>
      <c r="D86" t="n">
        <v>60</v>
      </c>
      <c r="E86" s="39" t="n">
        <v>0.84847169872337</v>
      </c>
      <c r="F86" t="n">
        <v>60</v>
      </c>
      <c r="G86" s="39" t="n">
        <v>0.89350202141584</v>
      </c>
      <c r="H86" t="n">
        <v>33</v>
      </c>
      <c r="I86" s="39" t="n">
        <v>0.89350202141584</v>
      </c>
      <c r="J86" t="n">
        <v>33</v>
      </c>
      <c r="K86" s="39" t="n">
        <v>0.829797452369799</v>
      </c>
      <c r="L86" t="n">
        <v>27</v>
      </c>
      <c r="M86" s="39" t="n">
        <v>0.798652387184533</v>
      </c>
      <c r="N86" s="12" t="n">
        <v>27</v>
      </c>
    </row>
    <row r="87" outlineLevel="1" hidden="0">
      <c r="A87" s="7" t="s">
        <v>15</v>
      </c>
      <c r="B87" t="s">
        <v>146</v>
      </c>
      <c r="C87" s="39" t="n">
        <v>0.868023004888975</v>
      </c>
      <c r="D87" t="n">
        <v>6</v>
      </c>
      <c r="E87" s="39" t="n">
        <v>0.73604600977795</v>
      </c>
      <c r="F87" t="n">
        <v>6</v>
      </c>
      <c r="G87" s="39" t="n">
        <v>1</v>
      </c>
      <c r="H87" t="n">
        <v>2</v>
      </c>
      <c r="I87" s="39" t="n">
        <v>1</v>
      </c>
      <c r="J87" t="n">
        <v>2</v>
      </c>
      <c r="K87" s="39" t="n">
        <v>0.791168039134337</v>
      </c>
      <c r="L87" t="n">
        <v>4</v>
      </c>
      <c r="M87" s="39" t="n">
        <v>0.582336078268674</v>
      </c>
      <c r="N87" s="12" t="n">
        <v>4</v>
      </c>
    </row>
    <row r="88" outlineLevel="1" hidden="0">
      <c r="A88" s="7" t="s">
        <v>15</v>
      </c>
      <c r="B88" t="s">
        <v>148</v>
      </c>
      <c r="C88" s="39" t="n">
        <v>0.450750979712009</v>
      </c>
      <c r="D88" t="n">
        <v>2</v>
      </c>
      <c r="E88" s="39" t="n">
        <v>0.450750979712009</v>
      </c>
      <c r="F88" t="n">
        <v>2</v>
      </c>
      <c r="G88" s="39" t="n">
        <v>1</v>
      </c>
      <c r="H88" t="n">
        <v>1</v>
      </c>
      <c r="I88" s="39" t="n">
        <v>1</v>
      </c>
      <c r="J88" t="n">
        <v>1</v>
      </c>
      <c r="K88" s="39"/>
      <c r="L88"/>
      <c r="M88" s="39"/>
      <c r="N88" s="12"/>
    </row>
    <row r="89" outlineLevel="1" hidden="0">
      <c r="A89" s="7" t="s">
        <v>15</v>
      </c>
      <c r="B89" t="s">
        <v>149</v>
      </c>
      <c r="C89" s="39" t="n">
        <v>0.924613929100627</v>
      </c>
      <c r="D89" t="n">
        <v>6</v>
      </c>
      <c r="E89" s="39" t="n">
        <v>0.924613929100627</v>
      </c>
      <c r="F89" t="n">
        <v>6</v>
      </c>
      <c r="G89" s="39" t="n">
        <v>0.867404747083664</v>
      </c>
      <c r="H89" t="n">
        <v>3</v>
      </c>
      <c r="I89" s="39" t="n">
        <v>0.867404747083664</v>
      </c>
      <c r="J89" t="n">
        <v>3</v>
      </c>
      <c r="K89" s="39" t="n">
        <v>1</v>
      </c>
      <c r="L89" t="n">
        <v>3</v>
      </c>
      <c r="M89" s="39" t="n">
        <v>1</v>
      </c>
      <c r="N89" s="12" t="n">
        <v>3</v>
      </c>
    </row>
    <row r="90" outlineLevel="1" hidden="0">
      <c r="A90" s="7" t="s">
        <v>15</v>
      </c>
      <c r="B90" t="s">
        <v>150</v>
      </c>
      <c r="C90" s="39" t="n">
        <v>1</v>
      </c>
      <c r="D90" t="n">
        <v>7</v>
      </c>
      <c r="E90" s="39" t="n">
        <v>0.623388441423835</v>
      </c>
      <c r="F90" t="n">
        <v>7</v>
      </c>
      <c r="G90" s="39" t="n">
        <v>1</v>
      </c>
      <c r="H90" t="n">
        <v>2</v>
      </c>
      <c r="I90" s="39" t="n">
        <v>1</v>
      </c>
      <c r="J90" t="n">
        <v>2</v>
      </c>
      <c r="K90" s="39" t="n">
        <v>1</v>
      </c>
      <c r="L90" t="n">
        <v>5</v>
      </c>
      <c r="M90" s="39" t="n">
        <v>0.532841757166664</v>
      </c>
      <c r="N90" s="12" t="n">
        <v>5</v>
      </c>
    </row>
    <row r="91" outlineLevel="1" hidden="0">
      <c r="A91" s="7" t="s">
        <v>15</v>
      </c>
      <c r="B91" t="s">
        <v>151</v>
      </c>
      <c r="C91" s="39" t="n">
        <v>1</v>
      </c>
      <c r="D91" t="n">
        <v>6</v>
      </c>
      <c r="E91" s="39" t="n">
        <v>1</v>
      </c>
      <c r="F91" t="n">
        <v>6</v>
      </c>
      <c r="G91" s="39" t="n">
        <v>1</v>
      </c>
      <c r="H91" t="n">
        <v>3</v>
      </c>
      <c r="I91" s="39" t="n">
        <v>1</v>
      </c>
      <c r="J91" t="n">
        <v>3</v>
      </c>
      <c r="K91" s="39" t="n">
        <v>1</v>
      </c>
      <c r="L91" t="n">
        <v>3</v>
      </c>
      <c r="M91" s="39" t="n">
        <v>1</v>
      </c>
      <c r="N91" s="12" t="n">
        <v>3</v>
      </c>
    </row>
    <row r="92" outlineLevel="1" hidden="0">
      <c r="A92" s="7" t="s">
        <v>15</v>
      </c>
      <c r="B92" t="s">
        <v>60</v>
      </c>
      <c r="C92" s="39" t="n">
        <v>1</v>
      </c>
      <c r="D92" t="n">
        <v>1</v>
      </c>
      <c r="E92" s="39" t="n">
        <v>1</v>
      </c>
      <c r="F92" t="n">
        <v>1</v>
      </c>
      <c r="G92" s="39" t="n">
        <v>1</v>
      </c>
      <c r="H92" t="n">
        <v>1</v>
      </c>
      <c r="I92" s="39" t="n">
        <v>1</v>
      </c>
      <c r="J92" t="n">
        <v>1</v>
      </c>
      <c r="K92" s="39"/>
      <c r="L92"/>
      <c r="M92" s="39"/>
      <c r="N92" s="12"/>
    </row>
    <row r="93" outlineLevel="1" hidden="0">
      <c r="A93" s="7" t="s">
        <v>15</v>
      </c>
      <c r="B93" t="s">
        <v>64</v>
      </c>
      <c r="C93" s="39" t="n">
        <v>1</v>
      </c>
      <c r="D93" t="n">
        <v>4</v>
      </c>
      <c r="E93" s="39" t="n">
        <v>1</v>
      </c>
      <c r="F93" t="n">
        <v>4</v>
      </c>
      <c r="G93" s="39" t="n">
        <v>1</v>
      </c>
      <c r="H93" t="n">
        <v>2</v>
      </c>
      <c r="I93" s="39" t="n">
        <v>1</v>
      </c>
      <c r="J93" t="n">
        <v>2</v>
      </c>
      <c r="K93" s="39" t="n">
        <v>1</v>
      </c>
      <c r="L93" t="n">
        <v>2</v>
      </c>
      <c r="M93" s="39" t="n">
        <v>1</v>
      </c>
      <c r="N93" s="12" t="n">
        <v>2</v>
      </c>
    </row>
    <row r="94" outlineLevel="1" hidden="0">
      <c r="A94" s="7" t="s">
        <v>15</v>
      </c>
      <c r="B94" t="s">
        <v>65</v>
      </c>
      <c r="C94" s="39" t="n">
        <v>1</v>
      </c>
      <c r="D94" t="n">
        <v>3</v>
      </c>
      <c r="E94" s="39" t="n">
        <v>1</v>
      </c>
      <c r="F94" t="n">
        <v>3</v>
      </c>
      <c r="G94" s="39" t="n">
        <v>1</v>
      </c>
      <c r="H94" t="n">
        <v>1</v>
      </c>
      <c r="I94" s="39" t="n">
        <v>1</v>
      </c>
      <c r="J94" t="n">
        <v>1</v>
      </c>
      <c r="K94" s="39" t="n">
        <v>1</v>
      </c>
      <c r="L94" t="n">
        <v>2</v>
      </c>
      <c r="M94" s="39" t="n">
        <v>1</v>
      </c>
      <c r="N94" s="12" t="n">
        <v>2</v>
      </c>
    </row>
    <row r="95" outlineLevel="1" hidden="0">
      <c r="A95" s="7" t="s">
        <v>15</v>
      </c>
      <c r="B95" t="s">
        <v>66</v>
      </c>
      <c r="C95" s="39" t="n">
        <v>1</v>
      </c>
      <c r="D95" t="n">
        <v>1</v>
      </c>
      <c r="E95" s="39" t="n">
        <v>1</v>
      </c>
      <c r="F95" t="n">
        <v>1</v>
      </c>
      <c r="G95" s="39" t="n">
        <v>1</v>
      </c>
      <c r="H95" t="n">
        <v>1</v>
      </c>
      <c r="I95" s="39" t="n">
        <v>1</v>
      </c>
      <c r="J95" t="n">
        <v>1</v>
      </c>
      <c r="K95" s="39"/>
      <c r="L95"/>
      <c r="M95" s="39"/>
      <c r="N95" s="12"/>
    </row>
    <row r="96" outlineLevel="1" hidden="0">
      <c r="A96" s="7" t="s">
        <v>15</v>
      </c>
      <c r="B96" t="s">
        <v>68</v>
      </c>
      <c r="C96" s="39" t="n">
        <v>1</v>
      </c>
      <c r="D96" t="n">
        <v>2</v>
      </c>
      <c r="E96" s="39" t="n">
        <v>1</v>
      </c>
      <c r="F96" t="n">
        <v>2</v>
      </c>
      <c r="G96" s="39"/>
      <c r="H96"/>
      <c r="I96" s="39"/>
      <c r="J96"/>
      <c r="K96" s="39" t="n">
        <v>1</v>
      </c>
      <c r="L96" t="n">
        <v>2</v>
      </c>
      <c r="M96" s="39" t="n">
        <v>1</v>
      </c>
      <c r="N96" s="12" t="n">
        <v>2</v>
      </c>
    </row>
    <row r="97" outlineLevel="1" hidden="0">
      <c r="A97" s="7" t="s">
        <v>15</v>
      </c>
      <c r="B97" t="s">
        <v>69</v>
      </c>
      <c r="C97" s="39" t="n">
        <v>1</v>
      </c>
      <c r="D97" t="n">
        <v>3</v>
      </c>
      <c r="E97" s="39" t="n">
        <v>1</v>
      </c>
      <c r="F97" t="n">
        <v>3</v>
      </c>
      <c r="G97" s="39" t="n">
        <v>1</v>
      </c>
      <c r="H97" t="n">
        <v>2</v>
      </c>
      <c r="I97" s="39" t="n">
        <v>1</v>
      </c>
      <c r="J97" t="n">
        <v>2</v>
      </c>
      <c r="K97" s="39" t="n">
        <v>1</v>
      </c>
      <c r="L97" t="n">
        <v>1</v>
      </c>
      <c r="M97" s="39" t="n">
        <v>1</v>
      </c>
      <c r="N97" s="12" t="n">
        <v>1</v>
      </c>
    </row>
    <row r="98" outlineLevel="1" hidden="0">
      <c r="A98" s="7" t="s">
        <v>15</v>
      </c>
      <c r="B98" t="s">
        <v>70</v>
      </c>
      <c r="C98" s="39" t="n">
        <v>1</v>
      </c>
      <c r="D98" t="n">
        <v>3</v>
      </c>
      <c r="E98" s="39" t="n">
        <v>1</v>
      </c>
      <c r="F98" t="n">
        <v>3</v>
      </c>
      <c r="G98" s="39" t="n">
        <v>1</v>
      </c>
      <c r="H98" t="n">
        <v>2</v>
      </c>
      <c r="I98" s="39" t="n">
        <v>1</v>
      </c>
      <c r="J98" t="n">
        <v>2</v>
      </c>
      <c r="K98" s="39" t="n">
        <v>1</v>
      </c>
      <c r="L98" t="n">
        <v>1</v>
      </c>
      <c r="M98" s="39" t="n">
        <v>1</v>
      </c>
      <c r="N98" s="12" t="n">
        <v>1</v>
      </c>
    </row>
    <row r="99" outlineLevel="1" hidden="0">
      <c r="A99" s="7" t="s">
        <v>15</v>
      </c>
      <c r="B99" t="s">
        <v>74</v>
      </c>
      <c r="C99" s="39" t="n">
        <v>1</v>
      </c>
      <c r="D99" t="n">
        <v>1</v>
      </c>
      <c r="E99" s="39" t="n">
        <v>1</v>
      </c>
      <c r="F99" t="n">
        <v>1</v>
      </c>
      <c r="G99" s="39"/>
      <c r="H99"/>
      <c r="I99" s="39"/>
      <c r="J99"/>
      <c r="K99" s="39" t="n">
        <v>1</v>
      </c>
      <c r="L99" t="n">
        <v>1</v>
      </c>
      <c r="M99" s="39" t="n">
        <v>1</v>
      </c>
      <c r="N99" s="12" t="n">
        <v>1</v>
      </c>
    </row>
    <row r="100" outlineLevel="1" hidden="0">
      <c r="A100" s="7" t="s">
        <v>15</v>
      </c>
      <c r="B100" t="s">
        <v>80</v>
      </c>
      <c r="C100" s="39" t="n">
        <v>1</v>
      </c>
      <c r="D100" t="n">
        <v>1</v>
      </c>
      <c r="E100" s="39" t="n">
        <v>1</v>
      </c>
      <c r="F100" t="n">
        <v>1</v>
      </c>
      <c r="G100" s="39"/>
      <c r="H100"/>
      <c r="I100" s="39"/>
      <c r="J100"/>
      <c r="K100" s="39" t="n">
        <v>1</v>
      </c>
      <c r="L100" t="n">
        <v>1</v>
      </c>
      <c r="M100" s="39" t="n">
        <v>1</v>
      </c>
      <c r="N100" s="12" t="n">
        <v>1</v>
      </c>
    </row>
    <row r="101" outlineLevel="1" hidden="0">
      <c r="A101" s="7" t="s">
        <v>15</v>
      </c>
      <c r="B101" t="s">
        <v>83</v>
      </c>
      <c r="C101" s="39" t="n">
        <v>1</v>
      </c>
      <c r="D101" t="n">
        <v>2</v>
      </c>
      <c r="E101" s="39" t="n">
        <v>1</v>
      </c>
      <c r="F101" t="n">
        <v>2</v>
      </c>
      <c r="G101" s="39" t="n">
        <v>1</v>
      </c>
      <c r="H101" t="n">
        <v>1</v>
      </c>
      <c r="I101" s="39" t="n">
        <v>1</v>
      </c>
      <c r="J101" t="n">
        <v>1</v>
      </c>
      <c r="K101" s="39" t="n">
        <v>1</v>
      </c>
      <c r="L101" t="n">
        <v>1</v>
      </c>
      <c r="M101" s="39" t="n">
        <v>1</v>
      </c>
      <c r="N101" s="12" t="n">
        <v>1</v>
      </c>
    </row>
    <row r="102" outlineLevel="1" hidden="0">
      <c r="A102" s="7" t="s">
        <v>15</v>
      </c>
      <c r="B102" t="s">
        <v>84</v>
      </c>
      <c r="C102" s="39" t="n">
        <v>1</v>
      </c>
      <c r="D102" t="n">
        <v>1</v>
      </c>
      <c r="E102" s="39" t="n">
        <v>1</v>
      </c>
      <c r="F102" t="n">
        <v>1</v>
      </c>
      <c r="G102" s="39" t="n">
        <v>1</v>
      </c>
      <c r="H102" t="n">
        <v>1</v>
      </c>
      <c r="I102" s="39" t="n">
        <v>1</v>
      </c>
      <c r="J102" t="n">
        <v>1</v>
      </c>
      <c r="K102" s="39"/>
      <c r="L102"/>
      <c r="M102" s="39"/>
      <c r="N102" s="12"/>
    </row>
    <row r="103" outlineLevel="1" hidden="0">
      <c r="A103" s="7" t="s">
        <v>15</v>
      </c>
      <c r="B103" t="s">
        <v>85</v>
      </c>
      <c r="C103" s="39" t="n">
        <v>1</v>
      </c>
      <c r="D103" t="n">
        <v>1</v>
      </c>
      <c r="E103" s="39" t="n">
        <v>1</v>
      </c>
      <c r="F103" t="n">
        <v>1</v>
      </c>
      <c r="G103" s="39"/>
      <c r="H103"/>
      <c r="I103" s="39"/>
      <c r="J103"/>
      <c r="K103" s="39" t="n">
        <v>1</v>
      </c>
      <c r="L103" t="n">
        <v>1</v>
      </c>
      <c r="M103" s="39" t="n">
        <v>1</v>
      </c>
      <c r="N103" s="12" t="n">
        <v>1</v>
      </c>
    </row>
    <row r="104" outlineLevel="1" hidden="0">
      <c r="A104" s="7" t="s">
        <v>15</v>
      </c>
      <c r="B104" t="s">
        <v>92</v>
      </c>
      <c r="C104" s="39" t="n">
        <v>1</v>
      </c>
      <c r="D104" t="n">
        <v>1</v>
      </c>
      <c r="E104" s="39" t="n">
        <v>1</v>
      </c>
      <c r="F104" t="n">
        <v>1</v>
      </c>
      <c r="G104" s="39"/>
      <c r="H104"/>
      <c r="I104" s="39"/>
      <c r="J104"/>
      <c r="K104" s="39" t="n">
        <v>1</v>
      </c>
      <c r="L104" t="n">
        <v>1</v>
      </c>
      <c r="M104" s="39" t="n">
        <v>1</v>
      </c>
      <c r="N104" s="12" t="n">
        <v>1</v>
      </c>
    </row>
    <row r="105" outlineLevel="1" hidden="0">
      <c r="A105" s="7" t="s">
        <v>15</v>
      </c>
      <c r="B105" t="s">
        <v>94</v>
      </c>
      <c r="C105" s="39" t="n">
        <v>1</v>
      </c>
      <c r="D105" t="n">
        <v>1</v>
      </c>
      <c r="E105" s="39" t="n">
        <v>1</v>
      </c>
      <c r="F105" t="n">
        <v>1</v>
      </c>
      <c r="G105" s="39" t="n">
        <v>1</v>
      </c>
      <c r="H105" t="n">
        <v>1</v>
      </c>
      <c r="I105" s="39" t="n">
        <v>1</v>
      </c>
      <c r="J105" t="n">
        <v>1</v>
      </c>
      <c r="K105" s="39"/>
      <c r="L105"/>
      <c r="M105" s="39"/>
      <c r="N105" s="12"/>
    </row>
    <row r="106" outlineLevel="1" hidden="0">
      <c r="A106" s="7" t="s">
        <v>15</v>
      </c>
      <c r="B106" t="s">
        <v>97</v>
      </c>
      <c r="C106" s="39" t="n">
        <v>1</v>
      </c>
      <c r="D106" t="n">
        <v>2</v>
      </c>
      <c r="E106" s="39" t="n">
        <v>1</v>
      </c>
      <c r="F106" t="n">
        <v>2</v>
      </c>
      <c r="G106" s="39"/>
      <c r="H106"/>
      <c r="I106" s="39"/>
      <c r="J106"/>
      <c r="K106" s="39" t="n">
        <v>1</v>
      </c>
      <c r="L106" t="n">
        <v>2</v>
      </c>
      <c r="M106" s="39" t="n">
        <v>1</v>
      </c>
      <c r="N106" s="12" t="n">
        <v>2</v>
      </c>
    </row>
    <row r="107" outlineLevel="1" hidden="0">
      <c r="A107" s="7" t="s">
        <v>15</v>
      </c>
      <c r="B107" t="s">
        <v>98</v>
      </c>
      <c r="C107" s="39" t="n">
        <v>1</v>
      </c>
      <c r="D107" t="n">
        <v>6</v>
      </c>
      <c r="E107" s="39" t="n">
        <v>1</v>
      </c>
      <c r="F107" t="n">
        <v>6</v>
      </c>
      <c r="G107" s="39" t="n">
        <v>1</v>
      </c>
      <c r="H107" t="n">
        <v>3</v>
      </c>
      <c r="I107" s="39" t="n">
        <v>1</v>
      </c>
      <c r="J107" t="n">
        <v>3</v>
      </c>
      <c r="K107" s="39" t="n">
        <v>1</v>
      </c>
      <c r="L107" t="n">
        <v>3</v>
      </c>
      <c r="M107" s="39" t="n">
        <v>1</v>
      </c>
      <c r="N107" s="12" t="n">
        <v>3</v>
      </c>
    </row>
    <row r="108" outlineLevel="1" hidden="0">
      <c r="A108" s="7" t="s">
        <v>15</v>
      </c>
      <c r="B108" t="s">
        <v>100</v>
      </c>
      <c r="C108" s="39" t="n">
        <v>1</v>
      </c>
      <c r="D108" t="n">
        <v>17</v>
      </c>
      <c r="E108" s="39" t="n">
        <v>1</v>
      </c>
      <c r="F108" t="n">
        <v>17</v>
      </c>
      <c r="G108" s="39" t="n">
        <v>1</v>
      </c>
      <c r="H108" t="n">
        <v>7</v>
      </c>
      <c r="I108" s="39" t="n">
        <v>1</v>
      </c>
      <c r="J108" t="n">
        <v>7</v>
      </c>
      <c r="K108" s="39" t="n">
        <v>1</v>
      </c>
      <c r="L108" t="n">
        <v>10</v>
      </c>
      <c r="M108" s="39" t="n">
        <v>1</v>
      </c>
      <c r="N108" s="12" t="n">
        <v>10</v>
      </c>
    </row>
    <row r="109" outlineLevel="1" hidden="0">
      <c r="A109" s="7" t="s">
        <v>15</v>
      </c>
      <c r="B109" t="s">
        <v>101</v>
      </c>
      <c r="C109" s="39" t="n">
        <v>1</v>
      </c>
      <c r="D109" t="n">
        <v>1</v>
      </c>
      <c r="E109" s="39" t="n">
        <v>1</v>
      </c>
      <c r="F109" t="n">
        <v>1</v>
      </c>
      <c r="G109" s="39"/>
      <c r="H109"/>
      <c r="I109" s="39"/>
      <c r="J109"/>
      <c r="K109" s="39" t="n">
        <v>1</v>
      </c>
      <c r="L109" t="n">
        <v>1</v>
      </c>
      <c r="M109" s="39" t="n">
        <v>1</v>
      </c>
      <c r="N109" s="12" t="n">
        <v>1</v>
      </c>
    </row>
    <row r="110" outlineLevel="1" hidden="0">
      <c r="A110" s="7" t="s">
        <v>15</v>
      </c>
      <c r="B110" t="s">
        <v>103</v>
      </c>
      <c r="C110" s="39" t="n">
        <v>1</v>
      </c>
      <c r="D110" t="n">
        <v>2</v>
      </c>
      <c r="E110" s="39" t="n">
        <v>1</v>
      </c>
      <c r="F110" t="n">
        <v>2</v>
      </c>
      <c r="G110" s="39" t="n">
        <v>1</v>
      </c>
      <c r="H110" t="n">
        <v>1</v>
      </c>
      <c r="I110" s="39" t="n">
        <v>1</v>
      </c>
      <c r="J110" t="n">
        <v>1</v>
      </c>
      <c r="K110" s="39" t="n">
        <v>1</v>
      </c>
      <c r="L110" t="n">
        <v>1</v>
      </c>
      <c r="M110" s="39" t="n">
        <v>1</v>
      </c>
      <c r="N110" s="12" t="n">
        <v>1</v>
      </c>
    </row>
    <row r="111" outlineLevel="1" hidden="0">
      <c r="A111" s="7" t="s">
        <v>15</v>
      </c>
      <c r="B111" t="s">
        <v>105</v>
      </c>
      <c r="C111" s="39" t="n">
        <v>1</v>
      </c>
      <c r="D111" t="n">
        <v>1</v>
      </c>
      <c r="E111" s="39" t="n">
        <v>1</v>
      </c>
      <c r="F111" t="n">
        <v>1</v>
      </c>
      <c r="G111" s="39" t="n">
        <v>1</v>
      </c>
      <c r="H111" t="n">
        <v>1</v>
      </c>
      <c r="I111" s="39" t="n">
        <v>1</v>
      </c>
      <c r="J111" t="n">
        <v>1</v>
      </c>
      <c r="K111" s="39"/>
      <c r="L111"/>
      <c r="M111" s="39"/>
      <c r="N111" s="12"/>
    </row>
    <row r="112" outlineLevel="1" hidden="0">
      <c r="A112" s="7" t="s">
        <v>15</v>
      </c>
      <c r="B112" t="s">
        <v>108</v>
      </c>
      <c r="C112" s="39" t="n">
        <v>1</v>
      </c>
      <c r="D112" t="n">
        <v>1</v>
      </c>
      <c r="E112" s="39" t="n">
        <v>1</v>
      </c>
      <c r="F112" t="n">
        <v>1</v>
      </c>
      <c r="G112" s="39"/>
      <c r="H112"/>
      <c r="I112" s="39"/>
      <c r="J112"/>
      <c r="K112" s="39" t="n">
        <v>1</v>
      </c>
      <c r="L112" t="n">
        <v>1</v>
      </c>
      <c r="M112" s="39" t="n">
        <v>1</v>
      </c>
      <c r="N112" s="12" t="n">
        <v>1</v>
      </c>
    </row>
    <row r="113" outlineLevel="1" hidden="0">
      <c r="A113" s="7" t="s">
        <v>15</v>
      </c>
      <c r="B113" t="s">
        <v>111</v>
      </c>
      <c r="C113" s="39" t="n">
        <v>1</v>
      </c>
      <c r="D113" t="n">
        <v>1</v>
      </c>
      <c r="E113" s="39" t="n">
        <v>1</v>
      </c>
      <c r="F113" t="n">
        <v>1</v>
      </c>
      <c r="G113" s="39"/>
      <c r="H113"/>
      <c r="I113" s="39"/>
      <c r="J113"/>
      <c r="K113" s="39" t="n">
        <v>1</v>
      </c>
      <c r="L113" t="n">
        <v>1</v>
      </c>
      <c r="M113" s="39" t="n">
        <v>1</v>
      </c>
      <c r="N113" s="12" t="n">
        <v>1</v>
      </c>
    </row>
    <row r="114" outlineLevel="1" hidden="0">
      <c r="A114" s="7" t="s">
        <v>15</v>
      </c>
      <c r="B114" t="s">
        <v>118</v>
      </c>
      <c r="C114" s="39" t="n">
        <v>1</v>
      </c>
      <c r="D114" t="n">
        <v>1</v>
      </c>
      <c r="E114" s="39" t="n">
        <v>1</v>
      </c>
      <c r="F114" t="n">
        <v>1</v>
      </c>
      <c r="G114" s="39"/>
      <c r="H114"/>
      <c r="I114" s="39"/>
      <c r="J114"/>
      <c r="K114" s="39" t="n">
        <v>1</v>
      </c>
      <c r="L114" t="n">
        <v>1</v>
      </c>
      <c r="M114" s="39" t="n">
        <v>1</v>
      </c>
      <c r="N114" s="12" t="n">
        <v>1</v>
      </c>
    </row>
    <row r="115" outlineLevel="1" hidden="0">
      <c r="A115" s="7" t="s">
        <v>15</v>
      </c>
      <c r="B115" t="s">
        <v>120</v>
      </c>
      <c r="C115" s="39" t="n">
        <v>1</v>
      </c>
      <c r="D115" t="n">
        <v>4</v>
      </c>
      <c r="E115" s="39" t="n">
        <v>1</v>
      </c>
      <c r="F115" t="n">
        <v>4</v>
      </c>
      <c r="G115" s="39" t="n">
        <v>1</v>
      </c>
      <c r="H115" t="n">
        <v>1</v>
      </c>
      <c r="I115" s="39" t="n">
        <v>1</v>
      </c>
      <c r="J115" t="n">
        <v>1</v>
      </c>
      <c r="K115" s="39" t="n">
        <v>1</v>
      </c>
      <c r="L115" t="n">
        <v>3</v>
      </c>
      <c r="M115" s="39" t="n">
        <v>1</v>
      </c>
      <c r="N115" s="12" t="n">
        <v>3</v>
      </c>
    </row>
    <row r="116" outlineLevel="1" hidden="0">
      <c r="A116" s="7" t="s">
        <v>15</v>
      </c>
      <c r="B116" t="s">
        <v>123</v>
      </c>
      <c r="C116" s="39" t="n">
        <v>1</v>
      </c>
      <c r="D116" t="n">
        <v>2</v>
      </c>
      <c r="E116" s="39" t="n">
        <v>1</v>
      </c>
      <c r="F116" t="n">
        <v>2</v>
      </c>
      <c r="G116" s="39" t="n">
        <v>1</v>
      </c>
      <c r="H116" t="n">
        <v>2</v>
      </c>
      <c r="I116" s="39" t="n">
        <v>1</v>
      </c>
      <c r="J116" t="n">
        <v>2</v>
      </c>
      <c r="K116" s="39"/>
      <c r="L116"/>
      <c r="M116" s="39"/>
      <c r="N116" s="12"/>
    </row>
    <row r="117" outlineLevel="1" hidden="0">
      <c r="A117" s="7" t="s">
        <v>15</v>
      </c>
      <c r="B117" t="s">
        <v>124</v>
      </c>
      <c r="C117" s="39" t="n">
        <v>1</v>
      </c>
      <c r="D117" t="n">
        <v>1</v>
      </c>
      <c r="E117" s="39" t="n">
        <v>1</v>
      </c>
      <c r="F117" t="n">
        <v>1</v>
      </c>
      <c r="G117" s="39"/>
      <c r="H117"/>
      <c r="I117" s="39"/>
      <c r="J117"/>
      <c r="K117" s="39" t="n">
        <v>1</v>
      </c>
      <c r="L117" t="n">
        <v>1</v>
      </c>
      <c r="M117" s="39" t="n">
        <v>1</v>
      </c>
      <c r="N117" s="12" t="n">
        <v>1</v>
      </c>
    </row>
    <row r="118" outlineLevel="1" hidden="0">
      <c r="A118" s="7" t="s">
        <v>15</v>
      </c>
      <c r="B118" t="s">
        <v>125</v>
      </c>
      <c r="C118" s="39" t="n">
        <v>1</v>
      </c>
      <c r="D118" t="n">
        <v>2</v>
      </c>
      <c r="E118" s="39" t="n">
        <v>1</v>
      </c>
      <c r="F118" t="n">
        <v>2</v>
      </c>
      <c r="G118" s="39" t="n">
        <v>1</v>
      </c>
      <c r="H118" t="n">
        <v>1</v>
      </c>
      <c r="I118" s="39" t="n">
        <v>1</v>
      </c>
      <c r="J118" t="n">
        <v>1</v>
      </c>
      <c r="K118" s="39" t="n">
        <v>1</v>
      </c>
      <c r="L118" t="n">
        <v>1</v>
      </c>
      <c r="M118" s="39" t="n">
        <v>1</v>
      </c>
      <c r="N118" s="12" t="n">
        <v>1</v>
      </c>
    </row>
    <row r="119" outlineLevel="1" hidden="0">
      <c r="A119" s="7" t="s">
        <v>15</v>
      </c>
      <c r="B119" t="s">
        <v>126</v>
      </c>
      <c r="C119" s="39" t="n">
        <v>1</v>
      </c>
      <c r="D119" t="n">
        <v>1</v>
      </c>
      <c r="E119" s="39" t="n">
        <v>1</v>
      </c>
      <c r="F119" t="n">
        <v>1</v>
      </c>
      <c r="G119" s="39"/>
      <c r="H119"/>
      <c r="I119" s="39"/>
      <c r="J119"/>
      <c r="K119" s="39" t="n">
        <v>1</v>
      </c>
      <c r="L119" t="n">
        <v>1</v>
      </c>
      <c r="M119" s="39" t="n">
        <v>1</v>
      </c>
      <c r="N119" s="12" t="n">
        <v>1</v>
      </c>
    </row>
    <row r="120" outlineLevel="1" hidden="0">
      <c r="A120" s="7" t="s">
        <v>15</v>
      </c>
      <c r="B120" t="s">
        <v>131</v>
      </c>
      <c r="C120" s="39" t="n">
        <v>1</v>
      </c>
      <c r="D120" t="n">
        <v>1</v>
      </c>
      <c r="E120" s="39" t="n">
        <v>1</v>
      </c>
      <c r="F120" t="n">
        <v>1</v>
      </c>
      <c r="G120" s="39" t="n">
        <v>1</v>
      </c>
      <c r="H120" t="n">
        <v>1</v>
      </c>
      <c r="I120" s="39" t="n">
        <v>1</v>
      </c>
      <c r="J120" t="n">
        <v>1</v>
      </c>
      <c r="K120" s="39"/>
      <c r="L120"/>
      <c r="M120" s="39"/>
      <c r="N120" s="12"/>
    </row>
    <row r="121" outlineLevel="1" hidden="0">
      <c r="A121" s="7" t="s">
        <v>15</v>
      </c>
      <c r="B121" t="s">
        <v>133</v>
      </c>
      <c r="C121" s="39" t="n">
        <v>1</v>
      </c>
      <c r="D121" t="n">
        <v>1</v>
      </c>
      <c r="E121" s="39" t="n">
        <v>1</v>
      </c>
      <c r="F121" t="n">
        <v>1</v>
      </c>
      <c r="G121" s="39"/>
      <c r="H121"/>
      <c r="I121" s="39"/>
      <c r="J121"/>
      <c r="K121" s="39" t="n">
        <v>1</v>
      </c>
      <c r="L121" t="n">
        <v>1</v>
      </c>
      <c r="M121" s="39" t="n">
        <v>1</v>
      </c>
      <c r="N121" s="12" t="n">
        <v>1</v>
      </c>
    </row>
    <row r="122" outlineLevel="1" hidden="0">
      <c r="A122" s="7" t="s">
        <v>15</v>
      </c>
      <c r="B122" t="s">
        <v>134</v>
      </c>
      <c r="C122" s="39" t="n">
        <v>1</v>
      </c>
      <c r="D122" t="n">
        <v>1</v>
      </c>
      <c r="E122" s="39" t="n">
        <v>1</v>
      </c>
      <c r="F122" t="n">
        <v>1</v>
      </c>
      <c r="G122" s="39"/>
      <c r="H122"/>
      <c r="I122" s="39"/>
      <c r="J122"/>
      <c r="K122" s="39" t="n">
        <v>1</v>
      </c>
      <c r="L122" t="n">
        <v>1</v>
      </c>
      <c r="M122" s="39" t="n">
        <v>1</v>
      </c>
      <c r="N122" s="12" t="n">
        <v>1</v>
      </c>
    </row>
    <row r="123" outlineLevel="1" hidden="0">
      <c r="A123" s="7" t="s">
        <v>15</v>
      </c>
      <c r="B123" t="s">
        <v>138</v>
      </c>
      <c r="C123" s="39" t="n">
        <v>1</v>
      </c>
      <c r="D123" t="n">
        <v>1</v>
      </c>
      <c r="E123" s="39" t="n">
        <v>1</v>
      </c>
      <c r="F123" t="n">
        <v>1</v>
      </c>
      <c r="G123" s="39" t="n">
        <v>1</v>
      </c>
      <c r="H123" t="n">
        <v>1</v>
      </c>
      <c r="I123" s="39" t="n">
        <v>1</v>
      </c>
      <c r="J123" t="n">
        <v>1</v>
      </c>
      <c r="K123" s="39"/>
      <c r="L123"/>
      <c r="M123" s="39"/>
      <c r="N123" s="12"/>
    </row>
    <row r="124" outlineLevel="1" hidden="0">
      <c r="A124" s="7" t="s">
        <v>15</v>
      </c>
      <c r="B124" t="s">
        <v>139</v>
      </c>
      <c r="C124" s="39" t="n">
        <v>1</v>
      </c>
      <c r="D124" t="n">
        <v>4</v>
      </c>
      <c r="E124" s="39" t="n">
        <v>1</v>
      </c>
      <c r="F124" t="n">
        <v>4</v>
      </c>
      <c r="G124" s="39" t="n">
        <v>1</v>
      </c>
      <c r="H124" t="n">
        <v>3</v>
      </c>
      <c r="I124" s="39" t="n">
        <v>1</v>
      </c>
      <c r="J124" t="n">
        <v>3</v>
      </c>
      <c r="K124" s="39" t="n">
        <v>1</v>
      </c>
      <c r="L124" t="n">
        <v>1</v>
      </c>
      <c r="M124" s="39" t="n">
        <v>1</v>
      </c>
      <c r="N124" s="12" t="n">
        <v>1</v>
      </c>
    </row>
    <row r="125" outlineLevel="1" hidden="0">
      <c r="A125" s="7" t="s">
        <v>15</v>
      </c>
      <c r="B125" t="s">
        <v>140</v>
      </c>
      <c r="C125" s="39" t="n">
        <v>1</v>
      </c>
      <c r="D125" t="n">
        <v>1</v>
      </c>
      <c r="E125" s="39" t="n">
        <v>1</v>
      </c>
      <c r="F125" t="n">
        <v>1</v>
      </c>
      <c r="G125" s="39" t="n">
        <v>1</v>
      </c>
      <c r="H125" t="n">
        <v>1</v>
      </c>
      <c r="I125" s="39" t="n">
        <v>1</v>
      </c>
      <c r="J125" t="n">
        <v>1</v>
      </c>
      <c r="K125" s="39"/>
      <c r="L125"/>
      <c r="M125" s="39"/>
      <c r="N125" s="12"/>
    </row>
    <row r="126" outlineLevel="1" hidden="0">
      <c r="A126" s="7" t="s">
        <v>15</v>
      </c>
      <c r="B126" t="s">
        <v>141</v>
      </c>
      <c r="C126" s="39" t="n">
        <v>1</v>
      </c>
      <c r="D126" t="n">
        <v>1</v>
      </c>
      <c r="E126" s="39" t="n">
        <v>1</v>
      </c>
      <c r="F126" t="n">
        <v>1</v>
      </c>
      <c r="G126" s="39" t="n">
        <v>1</v>
      </c>
      <c r="H126" t="n">
        <v>1</v>
      </c>
      <c r="I126" s="39" t="n">
        <v>1</v>
      </c>
      <c r="J126" t="n">
        <v>1</v>
      </c>
      <c r="K126" s="39"/>
      <c r="L126"/>
      <c r="M126" s="39"/>
      <c r="N126" s="12"/>
    </row>
    <row r="127" outlineLevel="1" hidden="0">
      <c r="A127" s="7" t="s">
        <v>15</v>
      </c>
      <c r="B127" t="s">
        <v>142</v>
      </c>
      <c r="C127" s="39" t="n">
        <v>1</v>
      </c>
      <c r="D127" t="n">
        <v>5</v>
      </c>
      <c r="E127" s="39" t="n">
        <v>1</v>
      </c>
      <c r="F127" t="n">
        <v>5</v>
      </c>
      <c r="G127" s="39" t="n">
        <v>1</v>
      </c>
      <c r="H127" t="n">
        <v>3</v>
      </c>
      <c r="I127" s="39" t="n">
        <v>1</v>
      </c>
      <c r="J127" t="n">
        <v>3</v>
      </c>
      <c r="K127" s="39" t="n">
        <v>1</v>
      </c>
      <c r="L127" t="n">
        <v>2</v>
      </c>
      <c r="M127" s="39" t="n">
        <v>1</v>
      </c>
      <c r="N127" s="12" t="n">
        <v>2</v>
      </c>
    </row>
    <row r="128" outlineLevel="1" hidden="0">
      <c r="A128" s="7" t="s">
        <v>15</v>
      </c>
      <c r="B128" t="s">
        <v>144</v>
      </c>
      <c r="C128" s="39" t="n">
        <v>1</v>
      </c>
      <c r="D128" t="n">
        <v>2</v>
      </c>
      <c r="E128" s="39" t="n">
        <v>1</v>
      </c>
      <c r="F128" t="n">
        <v>2</v>
      </c>
      <c r="G128" s="39"/>
      <c r="H128"/>
      <c r="I128" s="39"/>
      <c r="J128"/>
      <c r="K128" s="39" t="n">
        <v>1</v>
      </c>
      <c r="L128" t="n">
        <v>2</v>
      </c>
      <c r="M128" s="39" t="n">
        <v>1</v>
      </c>
      <c r="N128" s="12" t="n">
        <v>2</v>
      </c>
    </row>
    <row r="129" outlineLevel="1" hidden="0">
      <c r="A129" s="8" t="s">
        <v>15</v>
      </c>
      <c r="B129" s="10" t="s">
        <v>147</v>
      </c>
      <c r="C129" s="38" t="n">
        <v>1</v>
      </c>
      <c r="D129" s="10" t="n">
        <v>3</v>
      </c>
      <c r="E129" s="38" t="n">
        <v>1</v>
      </c>
      <c r="F129" s="10" t="n">
        <v>3</v>
      </c>
      <c r="G129" s="38" t="n">
        <v>1</v>
      </c>
      <c r="H129" s="10" t="n">
        <v>1</v>
      </c>
      <c r="I129" s="38" t="n">
        <v>1</v>
      </c>
      <c r="J129" s="10" t="n">
        <v>1</v>
      </c>
      <c r="K129" s="38" t="n">
        <v>1</v>
      </c>
      <c r="L129" s="10" t="n">
        <v>2</v>
      </c>
      <c r="M129" s="38" t="n">
        <v>1</v>
      </c>
      <c r="N129" s="13" t="n">
        <v>2</v>
      </c>
    </row>
    <row r="130">
      <c r="C130" s="39"/>
      <c r="E130" s="39"/>
      <c r="G130" s="39"/>
      <c r="I130" s="39"/>
      <c r="K130" s="39"/>
      <c r="M130" s="39"/>
    </row>
    <row r="131">
      <c r="C131" s="39"/>
      <c r="E131" s="39"/>
      <c r="G131" s="39"/>
      <c r="I131" s="39"/>
      <c r="K131" s="39"/>
      <c r="M131" s="39"/>
    </row>
  </sheetData>
  <mergeCells count="18">
    <mergeCell ref="A1:N1"/>
    <mergeCell ref="C2:F2"/>
    <mergeCell ref="G2:J2"/>
    <mergeCell ref="K2:N2"/>
    <mergeCell ref="E3:F3"/>
    <mergeCell ref="I3:J3"/>
    <mergeCell ref="M3:N3"/>
    <mergeCell ref="E4:F4"/>
    <mergeCell ref="C4:D4"/>
    <mergeCell ref="I4:J4"/>
    <mergeCell ref="G4:H4"/>
    <mergeCell ref="M4:N4"/>
    <mergeCell ref="K4:L4"/>
    <mergeCell ref="A6:N6"/>
    <mergeCell ref="A9:N9"/>
    <mergeCell ref="A14:N14"/>
    <mergeCell ref="A26:N26"/>
    <mergeCell ref="A48:N48"/>
  </mergeCells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 outlineLevelRow="1"/>
  <sheetData>
    <row r="1">
      <c r="A1" s="1" t="s">
        <v>172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>
      <c r="C2" s="2" t="s">
        <v>2</v>
      </c>
      <c r="D2" s="2"/>
      <c r="E2" s="2"/>
      <c r="F2" s="2"/>
      <c r="G2" s="2" t="s">
        <v>3</v>
      </c>
      <c r="H2" s="2"/>
      <c r="I2" s="2"/>
      <c r="J2" s="2"/>
      <c r="K2" s="2" t="s">
        <v>4</v>
      </c>
      <c r="L2" s="2"/>
      <c r="M2" s="2"/>
      <c r="N2" s="2"/>
    </row>
    <row r="3">
      <c r="E3" s="2" t="s">
        <v>167</v>
      </c>
      <c r="F3" s="2"/>
      <c r="I3" s="2" t="s">
        <v>167</v>
      </c>
      <c r="J3" s="2"/>
      <c r="M3" s="2" t="s">
        <v>167</v>
      </c>
      <c r="N3" s="2"/>
    </row>
    <row r="4">
      <c r="C4" s="2" t="s">
        <v>10</v>
      </c>
      <c r="D4" s="2"/>
      <c r="E4" s="2" t="s">
        <v>173</v>
      </c>
      <c r="F4" s="2"/>
      <c r="G4" s="2" t="s">
        <v>10</v>
      </c>
      <c r="H4" s="2"/>
      <c r="I4" s="2" t="s">
        <v>173</v>
      </c>
      <c r="J4" s="2"/>
      <c r="K4" s="2" t="s">
        <v>10</v>
      </c>
      <c r="L4" s="2"/>
      <c r="M4" s="2" t="s">
        <v>173</v>
      </c>
      <c r="N4" s="2"/>
    </row>
    <row r="5">
      <c r="A5" s="2" t="s">
        <v>11</v>
      </c>
      <c r="B5" s="2" t="s">
        <v>12</v>
      </c>
      <c r="C5" s="2" t="s">
        <v>13</v>
      </c>
      <c r="D5" s="2" t="s">
        <v>14</v>
      </c>
      <c r="E5" s="2" t="s">
        <v>13</v>
      </c>
      <c r="F5" s="2" t="s">
        <v>14</v>
      </c>
      <c r="G5" s="2" t="s">
        <v>13</v>
      </c>
      <c r="H5" s="2" t="s">
        <v>14</v>
      </c>
      <c r="I5" s="2" t="s">
        <v>13</v>
      </c>
      <c r="J5" s="2" t="s">
        <v>14</v>
      </c>
      <c r="K5" s="2" t="s">
        <v>13</v>
      </c>
      <c r="L5" s="2" t="s">
        <v>14</v>
      </c>
      <c r="M5" s="2" t="s">
        <v>13</v>
      </c>
      <c r="N5" s="2" t="s">
        <v>14</v>
      </c>
    </row>
    <row r="6">
      <c r="A6" s="2" t="s">
        <v>16</v>
      </c>
      <c r="B6" s="2"/>
      <c r="C6" s="40"/>
      <c r="D6" s="2"/>
      <c r="E6" s="40"/>
      <c r="F6" s="2"/>
      <c r="G6" s="40"/>
      <c r="H6" s="2"/>
      <c r="I6" s="40"/>
      <c r="J6" s="2"/>
      <c r="K6" s="40"/>
      <c r="L6" s="2"/>
      <c r="M6" s="40"/>
      <c r="N6" s="2"/>
    </row>
    <row r="7" outlineLevel="1" hidden="0">
      <c r="A7" s="3" t="s">
        <v>15</v>
      </c>
      <c r="B7" s="4" t="s">
        <v>19</v>
      </c>
      <c r="C7" s="41" t="n">
        <v>0.8771519609848</v>
      </c>
      <c r="D7" s="4" t="n">
        <v>923</v>
      </c>
      <c r="E7" s="41" t="n">
        <v>0.472708744552518</v>
      </c>
      <c r="F7" s="4" t="n">
        <v>923</v>
      </c>
      <c r="G7" s="41" t="n">
        <v>0.898160947701875</v>
      </c>
      <c r="H7" s="4" t="n">
        <v>479</v>
      </c>
      <c r="I7" s="41" t="n">
        <v>0.551147943719441</v>
      </c>
      <c r="J7" s="4" t="n">
        <v>479</v>
      </c>
      <c r="K7" s="41" t="n">
        <v>0.855051911006386</v>
      </c>
      <c r="L7" s="4" t="n">
        <v>444</v>
      </c>
      <c r="M7" s="41" t="n">
        <v>0.390195949185432</v>
      </c>
      <c r="N7" s="5" t="n">
        <v>444</v>
      </c>
    </row>
    <row r="8">
      <c r="C8" s="44"/>
      <c r="E8" s="44"/>
      <c r="G8" s="44"/>
      <c r="I8" s="44"/>
      <c r="K8" s="44"/>
      <c r="M8" s="44"/>
    </row>
    <row r="9">
      <c r="A9" s="2" t="s">
        <v>21</v>
      </c>
      <c r="B9" s="2"/>
      <c r="C9" s="40"/>
      <c r="D9" s="2"/>
      <c r="E9" s="40"/>
      <c r="F9" s="2"/>
      <c r="G9" s="40"/>
      <c r="H9" s="2"/>
      <c r="I9" s="40"/>
      <c r="J9" s="2"/>
      <c r="K9" s="40"/>
      <c r="L9" s="2"/>
      <c r="M9" s="40"/>
      <c r="N9" s="2"/>
    </row>
    <row r="10" outlineLevel="1" hidden="0">
      <c r="A10" s="6" t="s">
        <v>15</v>
      </c>
      <c r="B10" s="9" t="s">
        <v>23</v>
      </c>
      <c r="C10" s="42" t="n">
        <v>0.867843113927396</v>
      </c>
      <c r="D10" s="9" t="n">
        <v>448</v>
      </c>
      <c r="E10" s="42" t="n">
        <v>0.341011635413309</v>
      </c>
      <c r="F10" s="9" t="n">
        <v>448</v>
      </c>
      <c r="G10" s="42" t="n">
        <v>0.866601671011842</v>
      </c>
      <c r="H10" s="9" t="n">
        <v>220</v>
      </c>
      <c r="I10" s="42" t="n">
        <v>0.452348782135429</v>
      </c>
      <c r="J10" s="9" t="n">
        <v>220</v>
      </c>
      <c r="K10" s="42" t="n">
        <v>0.868969667365268</v>
      </c>
      <c r="L10" s="9" t="n">
        <v>228</v>
      </c>
      <c r="M10" s="42" t="n">
        <v>0.239978197764946</v>
      </c>
      <c r="N10" s="11" t="n">
        <v>228</v>
      </c>
    </row>
    <row r="11" outlineLevel="1" hidden="0">
      <c r="A11" s="7" t="s">
        <v>15</v>
      </c>
      <c r="B11" t="s">
        <v>24</v>
      </c>
      <c r="C11" s="44" t="n">
        <v>0.886728847896385</v>
      </c>
      <c r="D11" t="n">
        <v>474</v>
      </c>
      <c r="E11" s="44" t="n">
        <v>0.608898005671296</v>
      </c>
      <c r="F11" t="n">
        <v>474</v>
      </c>
      <c r="G11" s="44" t="n">
        <v>0.926268444188371</v>
      </c>
      <c r="H11" t="n">
        <v>258</v>
      </c>
      <c r="I11" s="44" t="n">
        <v>0.63964130795682</v>
      </c>
      <c r="J11" t="n">
        <v>258</v>
      </c>
      <c r="K11" s="44" t="n">
        <v>0.838279292652819</v>
      </c>
      <c r="L11" t="n">
        <v>216</v>
      </c>
      <c r="M11" s="44" t="n">
        <v>0.571226924979104</v>
      </c>
      <c r="N11" s="12" t="n">
        <v>216</v>
      </c>
    </row>
    <row r="12" outlineLevel="1" hidden="0">
      <c r="A12" s="8" t="s">
        <v>15</v>
      </c>
      <c r="B12" s="10" t="s">
        <v>22</v>
      </c>
      <c r="C12" s="43" t="n">
        <v>1</v>
      </c>
      <c r="D12" s="10" t="n">
        <v>1</v>
      </c>
      <c r="E12" s="43"/>
      <c r="F12" s="10"/>
      <c r="G12" s="43" t="n">
        <v>1</v>
      </c>
      <c r="H12" s="10" t="n">
        <v>1</v>
      </c>
      <c r="I12" s="43"/>
      <c r="J12" s="10"/>
      <c r="K12" s="43"/>
      <c r="L12" s="10"/>
      <c r="M12" s="43"/>
      <c r="N12" s="13"/>
    </row>
    <row r="13">
      <c r="C13" s="44"/>
      <c r="E13" s="44"/>
      <c r="G13" s="44"/>
      <c r="I13" s="44"/>
      <c r="K13" s="44"/>
      <c r="M13" s="44"/>
    </row>
    <row r="14">
      <c r="A14" s="2" t="s">
        <v>25</v>
      </c>
      <c r="B14" s="2"/>
      <c r="C14" s="40"/>
      <c r="D14" s="2"/>
      <c r="E14" s="40"/>
      <c r="F14" s="2"/>
      <c r="G14" s="40"/>
      <c r="H14" s="2"/>
      <c r="I14" s="40"/>
      <c r="J14" s="2"/>
      <c r="K14" s="40"/>
      <c r="L14" s="2"/>
      <c r="M14" s="40"/>
      <c r="N14" s="2"/>
    </row>
    <row r="15" outlineLevel="1" hidden="0">
      <c r="A15" s="6" t="s">
        <v>15</v>
      </c>
      <c r="B15" s="9" t="s">
        <v>26</v>
      </c>
      <c r="C15" s="42" t="n">
        <v>0.89072379099321</v>
      </c>
      <c r="D15" s="9" t="n">
        <v>227</v>
      </c>
      <c r="E15" s="42" t="n">
        <v>0.605084453036412</v>
      </c>
      <c r="F15" s="9" t="n">
        <v>227</v>
      </c>
      <c r="G15" s="42" t="n">
        <v>0.911135987481117</v>
      </c>
      <c r="H15" s="9" t="n">
        <v>122</v>
      </c>
      <c r="I15" s="42" t="n">
        <v>0.666560053652354</v>
      </c>
      <c r="J15" s="9" t="n">
        <v>122</v>
      </c>
      <c r="K15" s="42" t="n">
        <v>0.867967507268191</v>
      </c>
      <c r="L15" s="9" t="n">
        <v>105</v>
      </c>
      <c r="M15" s="42" t="n">
        <v>0.536549143246939</v>
      </c>
      <c r="N15" s="11" t="n">
        <v>105</v>
      </c>
    </row>
    <row r="16" outlineLevel="1" hidden="0">
      <c r="A16" s="7" t="s">
        <v>15</v>
      </c>
      <c r="B16" t="s">
        <v>27</v>
      </c>
      <c r="C16" s="44" t="n">
        <v>0.835562689404999</v>
      </c>
      <c r="D16" t="n">
        <v>87</v>
      </c>
      <c r="E16" s="44" t="n">
        <v>0.354852102001226</v>
      </c>
      <c r="F16" t="n">
        <v>87</v>
      </c>
      <c r="G16" s="44" t="n">
        <v>0.867196235555168</v>
      </c>
      <c r="H16" t="n">
        <v>41</v>
      </c>
      <c r="I16" s="44" t="n">
        <v>0.451597802753055</v>
      </c>
      <c r="J16" t="n">
        <v>41</v>
      </c>
      <c r="K16" s="44" t="n">
        <v>0.806738215914813</v>
      </c>
      <c r="L16" t="n">
        <v>46</v>
      </c>
      <c r="M16" s="44" t="n">
        <v>0.266697461564378</v>
      </c>
      <c r="N16" s="12" t="n">
        <v>46</v>
      </c>
    </row>
    <row r="17" outlineLevel="1" hidden="0">
      <c r="A17" s="7" t="s">
        <v>15</v>
      </c>
      <c r="B17" t="s">
        <v>28</v>
      </c>
      <c r="C17" s="44" t="n">
        <v>0.889441895614318</v>
      </c>
      <c r="D17" t="n">
        <v>64</v>
      </c>
      <c r="E17" s="44" t="n">
        <v>0.398625549514495</v>
      </c>
      <c r="F17" t="n">
        <v>64</v>
      </c>
      <c r="G17" s="44" t="n">
        <v>0.866515430993895</v>
      </c>
      <c r="H17" t="n">
        <v>32</v>
      </c>
      <c r="I17" s="44" t="n">
        <v>0.393523146490842</v>
      </c>
      <c r="J17" t="n">
        <v>32</v>
      </c>
      <c r="K17" s="44" t="n">
        <v>0.911985809449536</v>
      </c>
      <c r="L17" t="n">
        <v>32</v>
      </c>
      <c r="M17" s="44" t="n">
        <v>0.403642813886574</v>
      </c>
      <c r="N17" s="12" t="n">
        <v>32</v>
      </c>
    </row>
    <row r="18" outlineLevel="1" hidden="0">
      <c r="A18" s="7" t="s">
        <v>15</v>
      </c>
      <c r="B18" t="s">
        <v>29</v>
      </c>
      <c r="C18" s="44" t="n">
        <v>0.848250068335281</v>
      </c>
      <c r="D18" t="n">
        <v>92</v>
      </c>
      <c r="E18" s="44" t="n">
        <v>0.367978040674765</v>
      </c>
      <c r="F18" t="n">
        <v>92</v>
      </c>
      <c r="G18" s="44" t="n">
        <v>0.896028791508868</v>
      </c>
      <c r="H18" t="n">
        <v>52</v>
      </c>
      <c r="I18" s="44" t="n">
        <v>0.436588223213171</v>
      </c>
      <c r="J18" t="n">
        <v>52</v>
      </c>
      <c r="K18" s="44" t="n">
        <v>0.790445993175132</v>
      </c>
      <c r="L18" t="n">
        <v>40</v>
      </c>
      <c r="M18" s="44" t="n">
        <v>0.284971466099872</v>
      </c>
      <c r="N18" s="12" t="n">
        <v>40</v>
      </c>
    </row>
    <row r="19" outlineLevel="1" hidden="0">
      <c r="A19" s="7" t="s">
        <v>15</v>
      </c>
      <c r="B19" t="s">
        <v>30</v>
      </c>
      <c r="C19" s="44" t="n">
        <v>0.913256971472693</v>
      </c>
      <c r="D19" t="n">
        <v>57</v>
      </c>
      <c r="E19" s="44" t="n">
        <v>0.378886956822973</v>
      </c>
      <c r="F19" t="n">
        <v>57</v>
      </c>
      <c r="G19" s="44" t="n">
        <v>1</v>
      </c>
      <c r="H19" t="n">
        <v>32</v>
      </c>
      <c r="I19" s="44" t="n">
        <v>0.468163406026953</v>
      </c>
      <c r="J19" t="n">
        <v>32</v>
      </c>
      <c r="K19" s="44" t="n">
        <v>0.804698370151106</v>
      </c>
      <c r="L19" t="n">
        <v>25</v>
      </c>
      <c r="M19" s="44" t="n">
        <v>0.267157788253643</v>
      </c>
      <c r="N19" s="12" t="n">
        <v>25</v>
      </c>
    </row>
    <row r="20" outlineLevel="1" hidden="0">
      <c r="A20" s="7" t="s">
        <v>15</v>
      </c>
      <c r="B20" t="s">
        <v>31</v>
      </c>
      <c r="C20" s="44" t="n">
        <v>0.722829996196676</v>
      </c>
      <c r="D20" t="n">
        <v>77</v>
      </c>
      <c r="E20" s="44" t="n">
        <v>0.222726745872996</v>
      </c>
      <c r="F20" t="n">
        <v>77</v>
      </c>
      <c r="G20" s="44" t="n">
        <v>0.677999988107669</v>
      </c>
      <c r="H20" t="n">
        <v>33</v>
      </c>
      <c r="I20" s="44" t="n">
        <v>0.355999976215339</v>
      </c>
      <c r="J20" t="n">
        <v>33</v>
      </c>
      <c r="K20" s="44" t="n">
        <v>0.751136531584882</v>
      </c>
      <c r="L20" t="n">
        <v>44</v>
      </c>
      <c r="M20" s="44" t="n">
        <v>0.138575446959642</v>
      </c>
      <c r="N20" s="12" t="n">
        <v>44</v>
      </c>
    </row>
    <row r="21" outlineLevel="1" hidden="0">
      <c r="A21" s="7" t="s">
        <v>15</v>
      </c>
      <c r="B21" t="s">
        <v>32</v>
      </c>
      <c r="C21" s="44" t="n">
        <v>0.921709926831732</v>
      </c>
      <c r="D21" t="n">
        <v>58</v>
      </c>
      <c r="E21" s="44" t="n">
        <v>0.31912246606323</v>
      </c>
      <c r="F21" t="n">
        <v>58</v>
      </c>
      <c r="G21" s="44" t="n">
        <v>0.978150540623468</v>
      </c>
      <c r="H21" t="n">
        <v>29</v>
      </c>
      <c r="I21" s="44" t="n">
        <v>0.417266854833306</v>
      </c>
      <c r="J21" t="n">
        <v>29</v>
      </c>
      <c r="K21" s="44" t="n">
        <v>0.870396448648028</v>
      </c>
      <c r="L21" t="n">
        <v>29</v>
      </c>
      <c r="M21" s="44" t="n">
        <v>0.229893635728578</v>
      </c>
      <c r="N21" s="12" t="n">
        <v>29</v>
      </c>
    </row>
    <row r="22" outlineLevel="1" hidden="0">
      <c r="A22" s="7" t="s">
        <v>15</v>
      </c>
      <c r="B22" t="s">
        <v>33</v>
      </c>
      <c r="C22" s="44" t="n">
        <v>0.938632038163046</v>
      </c>
      <c r="D22" t="n">
        <v>78</v>
      </c>
      <c r="E22" s="44" t="n">
        <v>0.278995501507123</v>
      </c>
      <c r="F22" t="n">
        <v>78</v>
      </c>
      <c r="G22" s="44" t="n">
        <v>0.926320665843739</v>
      </c>
      <c r="H22" t="n">
        <v>32</v>
      </c>
      <c r="I22" s="44" t="n">
        <v>0.417593436078013</v>
      </c>
      <c r="J22" t="n">
        <v>32</v>
      </c>
      <c r="K22" s="44" t="n">
        <v>0.946754306976341</v>
      </c>
      <c r="L22" t="n">
        <v>46</v>
      </c>
      <c r="M22" s="44" t="n">
        <v>0.187557304988054</v>
      </c>
      <c r="N22" s="12" t="n">
        <v>46</v>
      </c>
    </row>
    <row r="23" outlineLevel="1" hidden="0">
      <c r="A23" s="7" t="s">
        <v>15</v>
      </c>
      <c r="B23" t="s">
        <v>34</v>
      </c>
      <c r="C23" s="44" t="n">
        <v>0.806887545456056</v>
      </c>
      <c r="D23" t="n">
        <v>88</v>
      </c>
      <c r="E23" s="44" t="n">
        <v>0.462374728415642</v>
      </c>
      <c r="F23" t="n">
        <v>88</v>
      </c>
      <c r="G23" s="44" t="n">
        <v>0.749387162281487</v>
      </c>
      <c r="H23" t="n">
        <v>52</v>
      </c>
      <c r="I23" s="44" t="n">
        <v>0.510135782712348</v>
      </c>
      <c r="J23" t="n">
        <v>52</v>
      </c>
      <c r="K23" s="44" t="n">
        <v>0.885618387263714</v>
      </c>
      <c r="L23" t="n">
        <v>36</v>
      </c>
      <c r="M23" s="44" t="n">
        <v>0.396979198806996</v>
      </c>
      <c r="N23" s="12" t="n">
        <v>36</v>
      </c>
    </row>
    <row r="24" outlineLevel="1" hidden="0">
      <c r="A24" s="8" t="s">
        <v>15</v>
      </c>
      <c r="B24" s="10" t="s">
        <v>35</v>
      </c>
      <c r="C24" s="43" t="n">
        <v>0.9649290708132</v>
      </c>
      <c r="D24" s="10" t="n">
        <v>95</v>
      </c>
      <c r="E24" s="43" t="n">
        <v>0.602371983489984</v>
      </c>
      <c r="F24" s="10" t="n">
        <v>95</v>
      </c>
      <c r="G24" s="43" t="n">
        <v>0.992772697527695</v>
      </c>
      <c r="H24" s="10" t="n">
        <v>54</v>
      </c>
      <c r="I24" s="43" t="n">
        <v>0.72628613579613</v>
      </c>
      <c r="J24" s="10" t="n">
        <v>54</v>
      </c>
      <c r="K24" s="43" t="n">
        <v>0.934198119669392</v>
      </c>
      <c r="L24" s="10" t="n">
        <v>41</v>
      </c>
      <c r="M24" s="43" t="n">
        <v>0.465608199102506</v>
      </c>
      <c r="N24" s="13" t="n">
        <v>41</v>
      </c>
    </row>
    <row r="25">
      <c r="C25" s="44"/>
      <c r="E25" s="44"/>
      <c r="G25" s="44"/>
      <c r="I25" s="44"/>
      <c r="K25" s="44"/>
      <c r="M25" s="44"/>
    </row>
    <row r="26">
      <c r="A26" s="2" t="s">
        <v>36</v>
      </c>
      <c r="B26" s="2"/>
      <c r="C26" s="40"/>
      <c r="D26" s="2"/>
      <c r="E26" s="40"/>
      <c r="F26" s="2"/>
      <c r="G26" s="40"/>
      <c r="H26" s="2"/>
      <c r="I26" s="40"/>
      <c r="J26" s="2"/>
      <c r="K26" s="40"/>
      <c r="L26" s="2"/>
      <c r="M26" s="40"/>
      <c r="N26" s="2"/>
    </row>
    <row r="27" outlineLevel="1" hidden="0">
      <c r="A27" s="6" t="s">
        <v>15</v>
      </c>
      <c r="B27" s="9" t="s">
        <v>37</v>
      </c>
      <c r="C27" s="42" t="n">
        <v>0.923076923076923</v>
      </c>
      <c r="D27" s="9" t="n">
        <v>26</v>
      </c>
      <c r="E27" s="42" t="n">
        <v>0.307692307692308</v>
      </c>
      <c r="F27" s="9" t="n">
        <v>26</v>
      </c>
      <c r="G27" s="42" t="n">
        <v>1</v>
      </c>
      <c r="H27" s="9" t="n">
        <v>13</v>
      </c>
      <c r="I27" s="42" t="n">
        <v>0.461538461538462</v>
      </c>
      <c r="J27" s="9" t="n">
        <v>13</v>
      </c>
      <c r="K27" s="42" t="n">
        <v>0.846153846153846</v>
      </c>
      <c r="L27" s="9" t="n">
        <v>13</v>
      </c>
      <c r="M27" s="42" t="n">
        <v>0.153846153846154</v>
      </c>
      <c r="N27" s="11" t="n">
        <v>13</v>
      </c>
    </row>
    <row r="28" outlineLevel="1" hidden="0">
      <c r="A28" s="7" t="s">
        <v>15</v>
      </c>
      <c r="B28" t="s">
        <v>38</v>
      </c>
      <c r="C28" s="44" t="n">
        <v>0.903225806451613</v>
      </c>
      <c r="D28" t="n">
        <v>31</v>
      </c>
      <c r="E28" s="44" t="n">
        <v>0.451612903225806</v>
      </c>
      <c r="F28" t="n">
        <v>31</v>
      </c>
      <c r="G28" s="44" t="n">
        <v>1</v>
      </c>
      <c r="H28" t="n">
        <v>19</v>
      </c>
      <c r="I28" s="44" t="n">
        <v>0.473684210526316</v>
      </c>
      <c r="J28" t="n">
        <v>19</v>
      </c>
      <c r="K28" s="44" t="n">
        <v>0.75</v>
      </c>
      <c r="L28" t="n">
        <v>12</v>
      </c>
      <c r="M28" s="44" t="n">
        <v>0.416666666666667</v>
      </c>
      <c r="N28" s="12" t="n">
        <v>12</v>
      </c>
    </row>
    <row r="29" outlineLevel="1" hidden="0">
      <c r="A29" s="7" t="s">
        <v>15</v>
      </c>
      <c r="B29" t="s">
        <v>39</v>
      </c>
      <c r="C29" s="44" t="n">
        <v>0.707317073170732</v>
      </c>
      <c r="D29" t="n">
        <v>41</v>
      </c>
      <c r="E29" s="44" t="n">
        <v>0.170731707317073</v>
      </c>
      <c r="F29" t="n">
        <v>41</v>
      </c>
      <c r="G29" s="44" t="n">
        <v>0.666666666666667</v>
      </c>
      <c r="H29" t="n">
        <v>15</v>
      </c>
      <c r="I29" s="44" t="n">
        <v>0.333333333333333</v>
      </c>
      <c r="J29" t="n">
        <v>15</v>
      </c>
      <c r="K29" s="44" t="n">
        <v>0.730769230769231</v>
      </c>
      <c r="L29" t="n">
        <v>26</v>
      </c>
      <c r="M29" s="44" t="n">
        <v>0.0769230769230769</v>
      </c>
      <c r="N29" s="12" t="n">
        <v>26</v>
      </c>
    </row>
    <row r="30" outlineLevel="1" hidden="0">
      <c r="A30" s="7" t="s">
        <v>15</v>
      </c>
      <c r="B30" t="s">
        <v>40</v>
      </c>
      <c r="C30" s="44" t="n">
        <v>0.805555555555555</v>
      </c>
      <c r="D30" t="n">
        <v>36</v>
      </c>
      <c r="E30" s="44" t="n">
        <v>0.5</v>
      </c>
      <c r="F30" t="n">
        <v>36</v>
      </c>
      <c r="G30" s="44" t="n">
        <v>0.722222222222222</v>
      </c>
      <c r="H30" t="n">
        <v>18</v>
      </c>
      <c r="I30" s="44" t="n">
        <v>0.444444444444444</v>
      </c>
      <c r="J30" t="n">
        <v>18</v>
      </c>
      <c r="K30" s="44" t="n">
        <v>0.888888888888889</v>
      </c>
      <c r="L30" t="n">
        <v>18</v>
      </c>
      <c r="M30" s="44" t="n">
        <v>0.555555555555556</v>
      </c>
      <c r="N30" s="12" t="n">
        <v>18</v>
      </c>
    </row>
    <row r="31" outlineLevel="1" hidden="0">
      <c r="A31" s="7" t="s">
        <v>15</v>
      </c>
      <c r="B31" t="s">
        <v>41</v>
      </c>
      <c r="C31" s="44" t="n">
        <v>0.939393939393939</v>
      </c>
      <c r="D31" t="n">
        <v>33</v>
      </c>
      <c r="E31" s="44" t="n">
        <v>0.242424242424242</v>
      </c>
      <c r="F31" t="n">
        <v>33</v>
      </c>
      <c r="G31" s="44" t="n">
        <v>0.923076923076923</v>
      </c>
      <c r="H31" t="n">
        <v>13</v>
      </c>
      <c r="I31" s="44" t="n">
        <v>0.384615384615385</v>
      </c>
      <c r="J31" t="n">
        <v>13</v>
      </c>
      <c r="K31" s="44" t="n">
        <v>0.95</v>
      </c>
      <c r="L31" t="n">
        <v>20</v>
      </c>
      <c r="M31" s="44" t="n">
        <v>0.15</v>
      </c>
      <c r="N31" s="12" t="n">
        <v>20</v>
      </c>
    </row>
    <row r="32" outlineLevel="1" hidden="0">
      <c r="A32" s="7" t="s">
        <v>15</v>
      </c>
      <c r="B32" t="s">
        <v>42</v>
      </c>
      <c r="C32" s="44" t="n">
        <v>0.933333333333333</v>
      </c>
      <c r="D32" t="n">
        <v>45</v>
      </c>
      <c r="E32" s="44" t="n">
        <v>0.533333333333333</v>
      </c>
      <c r="F32" t="n">
        <v>45</v>
      </c>
      <c r="G32" s="44" t="n">
        <v>0.947368421052632</v>
      </c>
      <c r="H32" t="n">
        <v>19</v>
      </c>
      <c r="I32" s="44" t="n">
        <v>0.631578947368421</v>
      </c>
      <c r="J32" t="n">
        <v>19</v>
      </c>
      <c r="K32" s="44" t="n">
        <v>0.923076923076923</v>
      </c>
      <c r="L32" t="n">
        <v>26</v>
      </c>
      <c r="M32" s="44" t="n">
        <v>0.461538461538461</v>
      </c>
      <c r="N32" s="12" t="n">
        <v>26</v>
      </c>
    </row>
    <row r="33" outlineLevel="1" hidden="0">
      <c r="A33" s="7" t="s">
        <v>15</v>
      </c>
      <c r="B33" t="s">
        <v>43</v>
      </c>
      <c r="C33" s="44" t="n">
        <v>0.962962962962963</v>
      </c>
      <c r="D33" t="n">
        <v>54</v>
      </c>
      <c r="E33" s="44" t="n">
        <v>0.574074074074074</v>
      </c>
      <c r="F33" t="n">
        <v>54</v>
      </c>
      <c r="G33" s="44" t="n">
        <v>1</v>
      </c>
      <c r="H33" t="n">
        <v>27</v>
      </c>
      <c r="I33" s="44" t="n">
        <v>0.740740740740741</v>
      </c>
      <c r="J33" t="n">
        <v>27</v>
      </c>
      <c r="K33" s="44" t="n">
        <v>0.925925925925926</v>
      </c>
      <c r="L33" t="n">
        <v>27</v>
      </c>
      <c r="M33" s="44" t="n">
        <v>0.407407407407407</v>
      </c>
      <c r="N33" s="12" t="n">
        <v>27</v>
      </c>
    </row>
    <row r="34" outlineLevel="1" hidden="0">
      <c r="A34" s="7" t="s">
        <v>15</v>
      </c>
      <c r="B34" t="s">
        <v>44</v>
      </c>
      <c r="C34" s="44" t="n">
        <v>0.975609756097561</v>
      </c>
      <c r="D34" t="n">
        <v>41</v>
      </c>
      <c r="E34" s="44" t="n">
        <v>0.75609756097561</v>
      </c>
      <c r="F34" t="n">
        <v>41</v>
      </c>
      <c r="G34" s="44" t="n">
        <v>0.962962962962963</v>
      </c>
      <c r="H34" t="n">
        <v>27</v>
      </c>
      <c r="I34" s="44" t="n">
        <v>0.666666666666667</v>
      </c>
      <c r="J34" t="n">
        <v>27</v>
      </c>
      <c r="K34" s="44" t="n">
        <v>1</v>
      </c>
      <c r="L34" t="n">
        <v>14</v>
      </c>
      <c r="M34" s="44" t="n">
        <v>0.928571428571429</v>
      </c>
      <c r="N34" s="12" t="n">
        <v>14</v>
      </c>
    </row>
    <row r="35" outlineLevel="1" hidden="0">
      <c r="A35" s="7" t="s">
        <v>15</v>
      </c>
      <c r="B35" t="s">
        <v>45</v>
      </c>
      <c r="C35" s="44" t="n">
        <v>0.897959183673469</v>
      </c>
      <c r="D35" t="n">
        <v>49</v>
      </c>
      <c r="E35" s="44" t="n">
        <v>0.26530612244898</v>
      </c>
      <c r="F35" t="n">
        <v>49</v>
      </c>
      <c r="G35" s="44" t="n">
        <v>0.956521739130435</v>
      </c>
      <c r="H35" t="n">
        <v>23</v>
      </c>
      <c r="I35" s="44" t="n">
        <v>0.304347826086957</v>
      </c>
      <c r="J35" t="n">
        <v>23</v>
      </c>
      <c r="K35" s="44" t="n">
        <v>0.846153846153846</v>
      </c>
      <c r="L35" t="n">
        <v>26</v>
      </c>
      <c r="M35" s="44" t="n">
        <v>0.230769230769231</v>
      </c>
      <c r="N35" s="12" t="n">
        <v>26</v>
      </c>
    </row>
    <row r="36" outlineLevel="1" hidden="0">
      <c r="A36" s="7" t="s">
        <v>15</v>
      </c>
      <c r="B36" t="s">
        <v>46</v>
      </c>
      <c r="C36" s="44" t="n">
        <v>0.767441860465116</v>
      </c>
      <c r="D36" t="n">
        <v>43</v>
      </c>
      <c r="E36" s="44" t="n">
        <v>0.534883720930233</v>
      </c>
      <c r="F36" t="n">
        <v>43</v>
      </c>
      <c r="G36" s="44" t="n">
        <v>0.827586206896552</v>
      </c>
      <c r="H36" t="n">
        <v>29</v>
      </c>
      <c r="I36" s="44" t="n">
        <v>0.586206896551724</v>
      </c>
      <c r="J36" t="n">
        <v>29</v>
      </c>
      <c r="K36" s="44" t="n">
        <v>0.642857142857143</v>
      </c>
      <c r="L36" t="n">
        <v>14</v>
      </c>
      <c r="M36" s="44" t="n">
        <v>0.428571428571429</v>
      </c>
      <c r="N36" s="12" t="n">
        <v>14</v>
      </c>
    </row>
    <row r="37" outlineLevel="1" hidden="0">
      <c r="A37" s="7" t="s">
        <v>15</v>
      </c>
      <c r="B37" t="s">
        <v>47</v>
      </c>
      <c r="C37" s="44" t="n">
        <v>0.794871794871795</v>
      </c>
      <c r="D37" t="n">
        <v>39</v>
      </c>
      <c r="E37" s="44" t="n">
        <v>0.41025641025641</v>
      </c>
      <c r="F37" t="n">
        <v>39</v>
      </c>
      <c r="G37" s="44" t="n">
        <v>0.727272727272727</v>
      </c>
      <c r="H37" t="n">
        <v>22</v>
      </c>
      <c r="I37" s="44" t="n">
        <v>0.5</v>
      </c>
      <c r="J37" t="n">
        <v>22</v>
      </c>
      <c r="K37" s="44" t="n">
        <v>0.882352941176471</v>
      </c>
      <c r="L37" t="n">
        <v>17</v>
      </c>
      <c r="M37" s="44" t="n">
        <v>0.294117647058824</v>
      </c>
      <c r="N37" s="12" t="n">
        <v>17</v>
      </c>
    </row>
    <row r="38" outlineLevel="1" hidden="0">
      <c r="A38" s="7" t="s">
        <v>15</v>
      </c>
      <c r="B38" t="s">
        <v>48</v>
      </c>
      <c r="C38" s="44" t="n">
        <v>0.836734693877551</v>
      </c>
      <c r="D38" t="n">
        <v>49</v>
      </c>
      <c r="E38" s="44" t="n">
        <v>0.591836734693878</v>
      </c>
      <c r="F38" t="n">
        <v>49</v>
      </c>
      <c r="G38" s="44" t="n">
        <v>0.8</v>
      </c>
      <c r="H38" t="n">
        <v>30</v>
      </c>
      <c r="I38" s="44" t="n">
        <v>0.533333333333333</v>
      </c>
      <c r="J38" t="n">
        <v>30</v>
      </c>
      <c r="K38" s="44" t="n">
        <v>0.894736842105263</v>
      </c>
      <c r="L38" t="n">
        <v>19</v>
      </c>
      <c r="M38" s="44" t="n">
        <v>0.684210526315789</v>
      </c>
      <c r="N38" s="12" t="n">
        <v>19</v>
      </c>
    </row>
    <row r="39" outlineLevel="1" hidden="0">
      <c r="A39" s="7" t="s">
        <v>15</v>
      </c>
      <c r="B39" t="s">
        <v>49</v>
      </c>
      <c r="C39" s="44" t="n">
        <v>0.882352941176471</v>
      </c>
      <c r="D39" t="n">
        <v>34</v>
      </c>
      <c r="E39" s="44" t="n">
        <v>0.352941176470588</v>
      </c>
      <c r="F39" t="n">
        <v>34</v>
      </c>
      <c r="G39" s="44" t="n">
        <v>0.8125</v>
      </c>
      <c r="H39" t="n">
        <v>16</v>
      </c>
      <c r="I39" s="44" t="n">
        <v>0.3125</v>
      </c>
      <c r="J39" t="n">
        <v>16</v>
      </c>
      <c r="K39" s="44" t="n">
        <v>0.944444444444444</v>
      </c>
      <c r="L39" t="n">
        <v>18</v>
      </c>
      <c r="M39" s="44" t="n">
        <v>0.388888888888889</v>
      </c>
      <c r="N39" s="12" t="n">
        <v>18</v>
      </c>
    </row>
    <row r="40" outlineLevel="1" hidden="0">
      <c r="A40" s="7" t="s">
        <v>15</v>
      </c>
      <c r="B40" t="s">
        <v>50</v>
      </c>
      <c r="C40" s="44" t="n">
        <v>0.9</v>
      </c>
      <c r="D40" t="n">
        <v>30</v>
      </c>
      <c r="E40" s="44" t="n">
        <v>0.466666666666667</v>
      </c>
      <c r="F40" t="n">
        <v>30</v>
      </c>
      <c r="G40" s="44" t="n">
        <v>0.9375</v>
      </c>
      <c r="H40" t="n">
        <v>16</v>
      </c>
      <c r="I40" s="44" t="n">
        <v>0.5</v>
      </c>
      <c r="J40" t="n">
        <v>16</v>
      </c>
      <c r="K40" s="44" t="n">
        <v>0.857142857142857</v>
      </c>
      <c r="L40" t="n">
        <v>14</v>
      </c>
      <c r="M40" s="44" t="n">
        <v>0.428571428571429</v>
      </c>
      <c r="N40" s="12" t="n">
        <v>14</v>
      </c>
    </row>
    <row r="41" outlineLevel="1" hidden="0">
      <c r="A41" s="7" t="s">
        <v>15</v>
      </c>
      <c r="B41" t="s">
        <v>51</v>
      </c>
      <c r="C41" s="44" t="n">
        <v>0.931034482758621</v>
      </c>
      <c r="D41" t="n">
        <v>29</v>
      </c>
      <c r="E41" s="44" t="n">
        <v>0.448275862068966</v>
      </c>
      <c r="F41" t="n">
        <v>29</v>
      </c>
      <c r="G41" s="44" t="n">
        <v>0.923076923076923</v>
      </c>
      <c r="H41" t="n">
        <v>13</v>
      </c>
      <c r="I41" s="44" t="n">
        <v>0.615384615384615</v>
      </c>
      <c r="J41" t="n">
        <v>13</v>
      </c>
      <c r="K41" s="44" t="n">
        <v>0.9375</v>
      </c>
      <c r="L41" t="n">
        <v>16</v>
      </c>
      <c r="M41" s="44" t="n">
        <v>0.3125</v>
      </c>
      <c r="N41" s="12" t="n">
        <v>16</v>
      </c>
    </row>
    <row r="42" outlineLevel="1" hidden="0">
      <c r="A42" s="7" t="s">
        <v>15</v>
      </c>
      <c r="B42" t="s">
        <v>52</v>
      </c>
      <c r="C42" s="44" t="n">
        <v>0.878787878787879</v>
      </c>
      <c r="D42" t="n">
        <v>198</v>
      </c>
      <c r="E42" s="44" t="n">
        <v>0.651515151515152</v>
      </c>
      <c r="F42" t="n">
        <v>198</v>
      </c>
      <c r="G42" s="44" t="n">
        <v>0.908256880733945</v>
      </c>
      <c r="H42" t="n">
        <v>109</v>
      </c>
      <c r="I42" s="44" t="n">
        <v>0.678899082568807</v>
      </c>
      <c r="J42" t="n">
        <v>109</v>
      </c>
      <c r="K42" s="44" t="n">
        <v>0.842696629213483</v>
      </c>
      <c r="L42" t="n">
        <v>89</v>
      </c>
      <c r="M42" s="44" t="n">
        <v>0.617977528089888</v>
      </c>
      <c r="N42" s="12" t="n">
        <v>89</v>
      </c>
    </row>
    <row r="43" outlineLevel="1" hidden="0">
      <c r="A43" s="7" t="s">
        <v>15</v>
      </c>
      <c r="B43" t="s">
        <v>53</v>
      </c>
      <c r="C43" s="44" t="n">
        <v>0.82</v>
      </c>
      <c r="D43" t="n">
        <v>50</v>
      </c>
      <c r="E43" s="44" t="n">
        <v>0.3</v>
      </c>
      <c r="F43" t="n">
        <v>50</v>
      </c>
      <c r="G43" s="44" t="n">
        <v>0.875</v>
      </c>
      <c r="H43" t="n">
        <v>24</v>
      </c>
      <c r="I43" s="44" t="n">
        <v>0.416666666666667</v>
      </c>
      <c r="J43" t="n">
        <v>24</v>
      </c>
      <c r="K43" s="44" t="n">
        <v>0.769230769230769</v>
      </c>
      <c r="L43" t="n">
        <v>26</v>
      </c>
      <c r="M43" s="44" t="n">
        <v>0.192307692307692</v>
      </c>
      <c r="N43" s="12" t="n">
        <v>26</v>
      </c>
    </row>
    <row r="44" outlineLevel="1" hidden="0">
      <c r="A44" s="7" t="s">
        <v>15</v>
      </c>
      <c r="B44" t="s">
        <v>54</v>
      </c>
      <c r="C44" s="44" t="n">
        <v>0.918918918918919</v>
      </c>
      <c r="D44" t="n">
        <v>37</v>
      </c>
      <c r="E44" s="44" t="n">
        <v>0.648648648648649</v>
      </c>
      <c r="F44" t="n">
        <v>37</v>
      </c>
      <c r="G44" s="44" t="n">
        <v>0.823529411764706</v>
      </c>
      <c r="H44" t="n">
        <v>17</v>
      </c>
      <c r="I44" s="44" t="n">
        <v>0.647058823529412</v>
      </c>
      <c r="J44" t="n">
        <v>17</v>
      </c>
      <c r="K44" s="44" t="n">
        <v>1</v>
      </c>
      <c r="L44" t="n">
        <v>20</v>
      </c>
      <c r="M44" s="44" t="n">
        <v>0.65</v>
      </c>
      <c r="N44" s="12" t="n">
        <v>20</v>
      </c>
    </row>
    <row r="45" outlineLevel="1" hidden="0">
      <c r="A45" s="7" t="s">
        <v>15</v>
      </c>
      <c r="B45" t="s">
        <v>55</v>
      </c>
      <c r="C45" s="44" t="n">
        <v>0.96</v>
      </c>
      <c r="D45" t="n">
        <v>25</v>
      </c>
      <c r="E45" s="44" t="n">
        <v>0.28</v>
      </c>
      <c r="F45" t="n">
        <v>25</v>
      </c>
      <c r="G45" s="44" t="n">
        <v>1</v>
      </c>
      <c r="H45" t="n">
        <v>11</v>
      </c>
      <c r="I45" s="44" t="n">
        <v>0.363636363636364</v>
      </c>
      <c r="J45" t="n">
        <v>11</v>
      </c>
      <c r="K45" s="44" t="n">
        <v>0.928571428571428</v>
      </c>
      <c r="L45" t="n">
        <v>14</v>
      </c>
      <c r="M45" s="44" t="n">
        <v>0.214285714285714</v>
      </c>
      <c r="N45" s="12" t="n">
        <v>14</v>
      </c>
    </row>
    <row r="46" outlineLevel="1" hidden="0">
      <c r="A46" s="8" t="s">
        <v>15</v>
      </c>
      <c r="B46" s="10" t="s">
        <v>56</v>
      </c>
      <c r="C46" s="43" t="n">
        <v>0.848484848484849</v>
      </c>
      <c r="D46" s="10" t="n">
        <v>33</v>
      </c>
      <c r="E46" s="43" t="n">
        <v>0.393939393939394</v>
      </c>
      <c r="F46" s="10" t="n">
        <v>33</v>
      </c>
      <c r="G46" s="43" t="n">
        <v>0.944444444444445</v>
      </c>
      <c r="H46" s="10" t="n">
        <v>18</v>
      </c>
      <c r="I46" s="43" t="n">
        <v>0.5</v>
      </c>
      <c r="J46" s="10" t="n">
        <v>18</v>
      </c>
      <c r="K46" s="43" t="n">
        <v>0.733333333333333</v>
      </c>
      <c r="L46" s="10" t="n">
        <v>15</v>
      </c>
      <c r="M46" s="43" t="n">
        <v>0.266666666666667</v>
      </c>
      <c r="N46" s="13" t="n">
        <v>15</v>
      </c>
    </row>
    <row r="47">
      <c r="C47" s="44"/>
      <c r="E47" s="44"/>
      <c r="G47" s="44"/>
      <c r="I47" s="44"/>
      <c r="K47" s="44"/>
      <c r="M47" s="44"/>
    </row>
    <row r="48">
      <c r="A48" s="2" t="s">
        <v>57</v>
      </c>
      <c r="B48" s="2"/>
      <c r="C48" s="40"/>
      <c r="D48" s="2"/>
      <c r="E48" s="40"/>
      <c r="F48" s="2"/>
      <c r="G48" s="40"/>
      <c r="H48" s="2"/>
      <c r="I48" s="40"/>
      <c r="J48" s="2"/>
      <c r="K48" s="40"/>
      <c r="L48" s="2"/>
      <c r="M48" s="40"/>
      <c r="N48" s="2"/>
    </row>
    <row r="49" outlineLevel="1" hidden="0">
      <c r="A49" s="6" t="s">
        <v>15</v>
      </c>
      <c r="B49" s="9" t="s">
        <v>58</v>
      </c>
      <c r="C49" s="42" t="n">
        <v>1</v>
      </c>
      <c r="D49" s="9" t="n">
        <v>1</v>
      </c>
      <c r="E49" s="42"/>
      <c r="F49" s="9"/>
      <c r="G49" s="42"/>
      <c r="H49" s="9"/>
      <c r="I49" s="42"/>
      <c r="J49" s="9"/>
      <c r="K49" s="42" t="n">
        <v>1</v>
      </c>
      <c r="L49" s="9" t="n">
        <v>1</v>
      </c>
      <c r="M49" s="42"/>
      <c r="N49" s="11"/>
    </row>
    <row r="50" outlineLevel="1" hidden="0">
      <c r="A50" s="7" t="s">
        <v>15</v>
      </c>
      <c r="B50" t="s">
        <v>59</v>
      </c>
      <c r="C50" s="44" t="n">
        <v>0.885333225564386</v>
      </c>
      <c r="D50" t="n">
        <v>114</v>
      </c>
      <c r="E50" s="44" t="n">
        <v>0.417297476871932</v>
      </c>
      <c r="F50" t="n">
        <v>114</v>
      </c>
      <c r="G50" s="44" t="n">
        <v>0.887344960130709</v>
      </c>
      <c r="H50" t="n">
        <v>56</v>
      </c>
      <c r="I50" s="44" t="n">
        <v>0.521258193993973</v>
      </c>
      <c r="J50" t="n">
        <v>56</v>
      </c>
      <c r="K50" s="44" t="n">
        <v>0.88353656046001</v>
      </c>
      <c r="L50" t="n">
        <v>58</v>
      </c>
      <c r="M50" s="44" t="n">
        <v>0.32445093746965</v>
      </c>
      <c r="N50" s="12" t="n">
        <v>58</v>
      </c>
    </row>
    <row r="51" outlineLevel="1" hidden="0">
      <c r="A51" s="7" t="s">
        <v>15</v>
      </c>
      <c r="B51" t="s">
        <v>61</v>
      </c>
      <c r="C51" s="44" t="n">
        <v>0.350195132714621</v>
      </c>
      <c r="D51" t="n">
        <v>2</v>
      </c>
      <c r="E51" s="44"/>
      <c r="F51"/>
      <c r="G51" s="44"/>
      <c r="H51"/>
      <c r="I51" s="44"/>
      <c r="J51"/>
      <c r="K51" s="44" t="n">
        <v>1</v>
      </c>
      <c r="L51" t="n">
        <v>1</v>
      </c>
      <c r="M51" s="44"/>
      <c r="N51" s="12"/>
    </row>
    <row r="52" outlineLevel="1" hidden="0">
      <c r="A52" s="7" t="s">
        <v>15</v>
      </c>
      <c r="B52" t="s">
        <v>63</v>
      </c>
      <c r="C52" s="44" t="n">
        <v>1</v>
      </c>
      <c r="D52" t="n">
        <v>17</v>
      </c>
      <c r="E52" s="44" t="n">
        <v>0.605637442392837</v>
      </c>
      <c r="F52" t="n">
        <v>17</v>
      </c>
      <c r="G52" s="44" t="n">
        <v>1</v>
      </c>
      <c r="H52" t="n">
        <v>9</v>
      </c>
      <c r="I52" s="44" t="n">
        <v>0.696988025566005</v>
      </c>
      <c r="J52" t="n">
        <v>9</v>
      </c>
      <c r="K52" s="44" t="n">
        <v>1</v>
      </c>
      <c r="L52" t="n">
        <v>8</v>
      </c>
      <c r="M52" s="44" t="n">
        <v>0.541309893389093</v>
      </c>
      <c r="N52" s="12" t="n">
        <v>8</v>
      </c>
    </row>
    <row r="53" outlineLevel="1" hidden="0">
      <c r="A53" s="7" t="s">
        <v>15</v>
      </c>
      <c r="B53" t="s">
        <v>67</v>
      </c>
      <c r="C53" s="44" t="n">
        <v>0.897061707784675</v>
      </c>
      <c r="D53" t="n">
        <v>16</v>
      </c>
      <c r="E53" s="44" t="n">
        <v>0.49940445287753</v>
      </c>
      <c r="F53" t="n">
        <v>16</v>
      </c>
      <c r="G53" s="44" t="n">
        <v>0.839022204491711</v>
      </c>
      <c r="H53" t="n">
        <v>8</v>
      </c>
      <c r="I53" s="44" t="n">
        <v>0.504793280142821</v>
      </c>
      <c r="J53" t="n">
        <v>8</v>
      </c>
      <c r="K53" s="44" t="n">
        <v>1</v>
      </c>
      <c r="L53" t="n">
        <v>8</v>
      </c>
      <c r="M53" s="44" t="n">
        <v>0.489846881839535</v>
      </c>
      <c r="N53" s="12" t="n">
        <v>8</v>
      </c>
    </row>
    <row r="54" outlineLevel="1" hidden="0">
      <c r="A54" s="7" t="s">
        <v>15</v>
      </c>
      <c r="B54" t="s">
        <v>71</v>
      </c>
      <c r="C54" s="44" t="n">
        <v>1</v>
      </c>
      <c r="D54" t="n">
        <v>1</v>
      </c>
      <c r="E54" s="44"/>
      <c r="F54"/>
      <c r="G54" s="44" t="n">
        <v>1</v>
      </c>
      <c r="H54" t="n">
        <v>1</v>
      </c>
      <c r="I54" s="44"/>
      <c r="J54"/>
      <c r="K54" s="44"/>
      <c r="L54"/>
      <c r="M54" s="44"/>
      <c r="N54" s="12"/>
    </row>
    <row r="55" outlineLevel="1" hidden="0">
      <c r="A55" s="7" t="s">
        <v>15</v>
      </c>
      <c r="B55" t="s">
        <v>72</v>
      </c>
      <c r="C55" s="44" t="n">
        <v>0.907646705025675</v>
      </c>
      <c r="D55" t="n">
        <v>12</v>
      </c>
      <c r="E55" s="44" t="n">
        <v>0.669656031898746</v>
      </c>
      <c r="F55" t="n">
        <v>12</v>
      </c>
      <c r="G55" s="44" t="n">
        <v>1</v>
      </c>
      <c r="H55" t="n">
        <v>3</v>
      </c>
      <c r="I55" s="44" t="n">
        <v>0.666666666666667</v>
      </c>
      <c r="J55" t="n">
        <v>3</v>
      </c>
      <c r="K55" s="44" t="n">
        <v>0.872253187991255</v>
      </c>
      <c r="L55" t="n">
        <v>9</v>
      </c>
      <c r="M55" s="44" t="n">
        <v>0.67080167753373</v>
      </c>
      <c r="N55" s="12" t="n">
        <v>9</v>
      </c>
    </row>
    <row r="56" outlineLevel="1" hidden="0">
      <c r="A56" s="7" t="s">
        <v>15</v>
      </c>
      <c r="B56" t="s">
        <v>75</v>
      </c>
      <c r="C56" s="44" t="n">
        <v>0.457720052135166</v>
      </c>
      <c r="D56" t="n">
        <v>2</v>
      </c>
      <c r="E56" s="44" t="n">
        <v>0.457720052135166</v>
      </c>
      <c r="F56" t="n">
        <v>2</v>
      </c>
      <c r="G56" s="44"/>
      <c r="H56"/>
      <c r="I56" s="44"/>
      <c r="J56"/>
      <c r="K56" s="44" t="n">
        <v>0.457720052135166</v>
      </c>
      <c r="L56" t="n">
        <v>2</v>
      </c>
      <c r="M56" s="44" t="n">
        <v>0.457720052135166</v>
      </c>
      <c r="N56" s="12" t="n">
        <v>2</v>
      </c>
    </row>
    <row r="57" outlineLevel="1" hidden="0">
      <c r="A57" s="7" t="s">
        <v>15</v>
      </c>
      <c r="B57" t="s">
        <v>76</v>
      </c>
      <c r="C57" s="44" t="n">
        <v>1</v>
      </c>
      <c r="D57" t="n">
        <v>2</v>
      </c>
      <c r="E57" s="44" t="n">
        <v>0.761352579538423</v>
      </c>
      <c r="F57" t="n">
        <v>2</v>
      </c>
      <c r="G57" s="44" t="n">
        <v>1</v>
      </c>
      <c r="H57" t="n">
        <v>2</v>
      </c>
      <c r="I57" s="44" t="n">
        <v>0.761352579538423</v>
      </c>
      <c r="J57" t="n">
        <v>2</v>
      </c>
      <c r="K57" s="44"/>
      <c r="L57"/>
      <c r="M57" s="44"/>
      <c r="N57" s="12"/>
    </row>
    <row r="58" outlineLevel="1" hidden="0">
      <c r="A58" s="7" t="s">
        <v>15</v>
      </c>
      <c r="B58" t="s">
        <v>78</v>
      </c>
      <c r="C58" s="44" t="n">
        <v>0.870401388899906</v>
      </c>
      <c r="D58" t="n">
        <v>11</v>
      </c>
      <c r="E58" s="44" t="n">
        <v>0.397255326714234</v>
      </c>
      <c r="F58" t="n">
        <v>11</v>
      </c>
      <c r="G58" s="44" t="n">
        <v>1</v>
      </c>
      <c r="H58" t="n">
        <v>6</v>
      </c>
      <c r="I58" s="44" t="n">
        <v>0.531351324903267</v>
      </c>
      <c r="J58" t="n">
        <v>6</v>
      </c>
      <c r="K58" s="44" t="n">
        <v>0.717181040987577</v>
      </c>
      <c r="L58" t="n">
        <v>5</v>
      </c>
      <c r="M58" s="44" t="n">
        <v>0.2387178599793</v>
      </c>
      <c r="N58" s="12" t="n">
        <v>5</v>
      </c>
    </row>
    <row r="59" outlineLevel="1" hidden="0">
      <c r="A59" s="7" t="s">
        <v>15</v>
      </c>
      <c r="B59" t="s">
        <v>81</v>
      </c>
      <c r="C59" s="44" t="n">
        <v>1</v>
      </c>
      <c r="D59" t="n">
        <v>7</v>
      </c>
      <c r="E59" s="44" t="n">
        <v>0.593459637156005</v>
      </c>
      <c r="F59" t="n">
        <v>7</v>
      </c>
      <c r="G59" s="44" t="n">
        <v>1</v>
      </c>
      <c r="H59" t="n">
        <v>4</v>
      </c>
      <c r="I59" s="44" t="n">
        <v>0.565686711177518</v>
      </c>
      <c r="J59" t="n">
        <v>4</v>
      </c>
      <c r="K59" s="44" t="n">
        <v>1</v>
      </c>
      <c r="L59" t="n">
        <v>3</v>
      </c>
      <c r="M59" s="44" t="n">
        <v>0.649035596276764</v>
      </c>
      <c r="N59" s="12" t="n">
        <v>3</v>
      </c>
    </row>
    <row r="60" outlineLevel="1" hidden="0">
      <c r="A60" s="7" t="s">
        <v>15</v>
      </c>
      <c r="B60" t="s">
        <v>82</v>
      </c>
      <c r="C60" s="44" t="n">
        <v>1</v>
      </c>
      <c r="D60" t="n">
        <v>5</v>
      </c>
      <c r="E60" s="44"/>
      <c r="F60"/>
      <c r="G60" s="44" t="n">
        <v>1</v>
      </c>
      <c r="H60" t="n">
        <v>2</v>
      </c>
      <c r="I60" s="44"/>
      <c r="J60"/>
      <c r="K60" s="44" t="n">
        <v>1</v>
      </c>
      <c r="L60" t="n">
        <v>3</v>
      </c>
      <c r="M60" s="44"/>
      <c r="N60" s="12"/>
    </row>
    <row r="61" outlineLevel="1" hidden="0">
      <c r="A61" s="7" t="s">
        <v>15</v>
      </c>
      <c r="B61" t="s">
        <v>86</v>
      </c>
      <c r="C61" s="44" t="n">
        <v>0.382697023398415</v>
      </c>
      <c r="D61" t="n">
        <v>14</v>
      </c>
      <c r="E61" s="44" t="n">
        <v>0.183748191690296</v>
      </c>
      <c r="F61" t="n">
        <v>14</v>
      </c>
      <c r="G61" s="44" t="n">
        <v>0.413510392357629</v>
      </c>
      <c r="H61" t="n">
        <v>7</v>
      </c>
      <c r="I61" s="44" t="n">
        <v>0.375829573685474</v>
      </c>
      <c r="J61" t="n">
        <v>7</v>
      </c>
      <c r="K61" s="44" t="n">
        <v>0.355143357938831</v>
      </c>
      <c r="L61" t="n">
        <v>7</v>
      </c>
      <c r="M61" s="44" t="n">
        <v>0.0119868322779216</v>
      </c>
      <c r="N61" s="12" t="n">
        <v>7</v>
      </c>
    </row>
    <row r="62" outlineLevel="1" hidden="0">
      <c r="A62" s="7" t="s">
        <v>15</v>
      </c>
      <c r="B62" t="s">
        <v>87</v>
      </c>
      <c r="C62" s="44" t="n">
        <v>0.846333988268843</v>
      </c>
      <c r="D62" t="n">
        <v>16</v>
      </c>
      <c r="E62" s="44" t="n">
        <v>0.421937822806556</v>
      </c>
      <c r="F62" t="n">
        <v>16</v>
      </c>
      <c r="G62" s="44" t="n">
        <v>0.965181658537599</v>
      </c>
      <c r="H62" t="n">
        <v>8</v>
      </c>
      <c r="I62" s="44" t="n">
        <v>0.328543861079645</v>
      </c>
      <c r="J62" t="n">
        <v>8</v>
      </c>
      <c r="K62" s="44" t="n">
        <v>0.754134233940054</v>
      </c>
      <c r="L62" t="n">
        <v>8</v>
      </c>
      <c r="M62" s="44" t="n">
        <v>0.494391075845013</v>
      </c>
      <c r="N62" s="12" t="n">
        <v>8</v>
      </c>
    </row>
    <row r="63" outlineLevel="1" hidden="0">
      <c r="A63" s="7" t="s">
        <v>15</v>
      </c>
      <c r="B63" t="s">
        <v>89</v>
      </c>
      <c r="C63" s="44" t="n">
        <v>0.871676178359552</v>
      </c>
      <c r="D63" t="n">
        <v>219</v>
      </c>
      <c r="E63" s="44" t="n">
        <v>0.517795220664791</v>
      </c>
      <c r="F63" t="n">
        <v>219</v>
      </c>
      <c r="G63" s="44" t="n">
        <v>0.895926642376706</v>
      </c>
      <c r="H63" t="n">
        <v>115</v>
      </c>
      <c r="I63" s="44" t="n">
        <v>0.628683487165201</v>
      </c>
      <c r="J63" t="n">
        <v>115</v>
      </c>
      <c r="K63" s="44" t="n">
        <v>0.846101077563684</v>
      </c>
      <c r="L63" t="n">
        <v>104</v>
      </c>
      <c r="M63" s="44" t="n">
        <v>0.40084988754371</v>
      </c>
      <c r="N63" s="12" t="n">
        <v>104</v>
      </c>
    </row>
    <row r="64" outlineLevel="1" hidden="0">
      <c r="A64" s="7" t="s">
        <v>15</v>
      </c>
      <c r="B64" t="s">
        <v>90</v>
      </c>
      <c r="C64" s="44" t="n">
        <v>1</v>
      </c>
      <c r="D64" t="n">
        <v>23</v>
      </c>
      <c r="E64" s="44" t="n">
        <v>0.471811965400116</v>
      </c>
      <c r="F64" t="n">
        <v>23</v>
      </c>
      <c r="G64" s="44" t="n">
        <v>1</v>
      </c>
      <c r="H64" t="n">
        <v>15</v>
      </c>
      <c r="I64" s="44" t="n">
        <v>0.390339700462908</v>
      </c>
      <c r="J64" t="n">
        <v>15</v>
      </c>
      <c r="K64" s="44" t="n">
        <v>1</v>
      </c>
      <c r="L64" t="n">
        <v>8</v>
      </c>
      <c r="M64" s="44" t="n">
        <v>0.626371955527464</v>
      </c>
      <c r="N64" s="12" t="n">
        <v>8</v>
      </c>
    </row>
    <row r="65" outlineLevel="1" hidden="0">
      <c r="A65" s="7" t="s">
        <v>15</v>
      </c>
      <c r="B65" t="s">
        <v>91</v>
      </c>
      <c r="C65" s="44" t="n">
        <v>1</v>
      </c>
      <c r="D65" t="n">
        <v>2</v>
      </c>
      <c r="E65" s="44" t="n">
        <v>0.5</v>
      </c>
      <c r="F65" t="n">
        <v>2</v>
      </c>
      <c r="G65" s="44" t="n">
        <v>1</v>
      </c>
      <c r="H65" t="n">
        <v>2</v>
      </c>
      <c r="I65" s="44" t="n">
        <v>0.5</v>
      </c>
      <c r="J65" t="n">
        <v>2</v>
      </c>
      <c r="K65" s="44"/>
      <c r="L65"/>
      <c r="M65" s="44"/>
      <c r="N65" s="12"/>
    </row>
    <row r="66" outlineLevel="1" hidden="0">
      <c r="A66" s="7" t="s">
        <v>15</v>
      </c>
      <c r="B66" t="s">
        <v>95</v>
      </c>
      <c r="C66" s="44" t="n">
        <v>0.216309271920239</v>
      </c>
      <c r="D66" t="n">
        <v>4</v>
      </c>
      <c r="E66" s="44" t="n">
        <v>0.0989969378104277</v>
      </c>
      <c r="F66" t="n">
        <v>4</v>
      </c>
      <c r="G66" s="44" t="n">
        <v>1</v>
      </c>
      <c r="H66" t="n">
        <v>1</v>
      </c>
      <c r="I66" s="44"/>
      <c r="J66"/>
      <c r="K66" s="44" t="n">
        <v>0.112153983380508</v>
      </c>
      <c r="L66" t="n">
        <v>3</v>
      </c>
      <c r="M66" s="44" t="n">
        <v>0.112153983380508</v>
      </c>
      <c r="N66" s="12" t="n">
        <v>3</v>
      </c>
    </row>
    <row r="67" outlineLevel="1" hidden="0">
      <c r="A67" s="7" t="s">
        <v>15</v>
      </c>
      <c r="B67" t="s">
        <v>96</v>
      </c>
      <c r="C67" s="44" t="n">
        <v>0.932403724534315</v>
      </c>
      <c r="D67" t="n">
        <v>35</v>
      </c>
      <c r="E67" s="44" t="n">
        <v>0.357824269717182</v>
      </c>
      <c r="F67" t="n">
        <v>35</v>
      </c>
      <c r="G67" s="44" t="n">
        <v>0.904131406571008</v>
      </c>
      <c r="H67" t="n">
        <v>17</v>
      </c>
      <c r="I67" s="44" t="n">
        <v>0.547978979574272</v>
      </c>
      <c r="J67" t="n">
        <v>17</v>
      </c>
      <c r="K67" s="44" t="n">
        <v>0.948308235968607</v>
      </c>
      <c r="L67" t="n">
        <v>18</v>
      </c>
      <c r="M67" s="44" t="n">
        <v>0.250853282720939</v>
      </c>
      <c r="N67" s="12" t="n">
        <v>18</v>
      </c>
    </row>
    <row r="68" outlineLevel="1" hidden="0">
      <c r="A68" s="7" t="s">
        <v>15</v>
      </c>
      <c r="B68" t="s">
        <v>104</v>
      </c>
      <c r="C68" s="44" t="n">
        <v>1</v>
      </c>
      <c r="D68" t="n">
        <v>5</v>
      </c>
      <c r="E68" s="44" t="n">
        <v>0.910078750123992</v>
      </c>
      <c r="F68" t="n">
        <v>5</v>
      </c>
      <c r="G68" s="44" t="n">
        <v>1</v>
      </c>
      <c r="H68" t="n">
        <v>3</v>
      </c>
      <c r="I68" s="44" t="n">
        <v>1</v>
      </c>
      <c r="J68" t="n">
        <v>3</v>
      </c>
      <c r="K68" s="44" t="n">
        <v>1</v>
      </c>
      <c r="L68" t="n">
        <v>2</v>
      </c>
      <c r="M68" s="44" t="n">
        <v>0.761352579538423</v>
      </c>
      <c r="N68" s="12" t="n">
        <v>2</v>
      </c>
    </row>
    <row r="69" outlineLevel="1" hidden="0">
      <c r="A69" s="7" t="s">
        <v>15</v>
      </c>
      <c r="B69" t="s">
        <v>106</v>
      </c>
      <c r="C69" s="44" t="n">
        <v>0.725109646732557</v>
      </c>
      <c r="D69" t="n">
        <v>13</v>
      </c>
      <c r="E69" s="44" t="n">
        <v>0.377598452224636</v>
      </c>
      <c r="F69" t="n">
        <v>13</v>
      </c>
      <c r="G69" s="44" t="n">
        <v>0.955580227663122</v>
      </c>
      <c r="H69" t="n">
        <v>9</v>
      </c>
      <c r="I69" s="44" t="n">
        <v>0.513910854022991</v>
      </c>
      <c r="J69" t="n">
        <v>9</v>
      </c>
      <c r="K69" s="44" t="n">
        <v>0.216678318343105</v>
      </c>
      <c r="L69" t="n">
        <v>4</v>
      </c>
      <c r="M69" s="44" t="n">
        <v>0.0768854708000188</v>
      </c>
      <c r="N69" s="12" t="n">
        <v>4</v>
      </c>
    </row>
    <row r="70" outlineLevel="1" hidden="0">
      <c r="A70" s="7" t="s">
        <v>15</v>
      </c>
      <c r="B70" t="s">
        <v>109</v>
      </c>
      <c r="C70" s="44" t="n">
        <v>0.814262408367393</v>
      </c>
      <c r="D70" t="n">
        <v>129</v>
      </c>
      <c r="E70" s="44" t="n">
        <v>0.320845233032578</v>
      </c>
      <c r="F70" t="n">
        <v>129</v>
      </c>
      <c r="G70" s="44" t="n">
        <v>0.82152873133629</v>
      </c>
      <c r="H70" t="n">
        <v>68</v>
      </c>
      <c r="I70" s="44" t="n">
        <v>0.335051165312747</v>
      </c>
      <c r="J70" t="n">
        <v>68</v>
      </c>
      <c r="K70" s="44" t="n">
        <v>0.805344810620048</v>
      </c>
      <c r="L70" t="n">
        <v>61</v>
      </c>
      <c r="M70" s="44" t="n">
        <v>0.303410997003871</v>
      </c>
      <c r="N70" s="12" t="n">
        <v>61</v>
      </c>
    </row>
    <row r="71" outlineLevel="1" hidden="0">
      <c r="A71" s="7" t="s">
        <v>15</v>
      </c>
      <c r="B71" t="s">
        <v>110</v>
      </c>
      <c r="C71" s="44" t="n">
        <v>0.892420583515376</v>
      </c>
      <c r="D71" t="n">
        <v>14</v>
      </c>
      <c r="E71" s="44" t="n">
        <v>0.122769807825144</v>
      </c>
      <c r="F71" t="n">
        <v>14</v>
      </c>
      <c r="G71" s="44" t="n">
        <v>1</v>
      </c>
      <c r="H71" t="n">
        <v>9</v>
      </c>
      <c r="I71" s="44" t="n">
        <v>0.182936572120266</v>
      </c>
      <c r="J71" t="n">
        <v>9</v>
      </c>
      <c r="K71" s="44" t="n">
        <v>0.799281281078308</v>
      </c>
      <c r="L71" t="n">
        <v>5</v>
      </c>
      <c r="M71" s="44" t="n">
        <v>0.0706790767219127</v>
      </c>
      <c r="N71" s="12" t="n">
        <v>5</v>
      </c>
    </row>
    <row r="72" outlineLevel="1" hidden="0">
      <c r="A72" s="7" t="s">
        <v>15</v>
      </c>
      <c r="B72" t="s">
        <v>112</v>
      </c>
      <c r="C72" s="44" t="n">
        <v>1</v>
      </c>
      <c r="D72" t="n">
        <v>1</v>
      </c>
      <c r="E72" s="44"/>
      <c r="F72"/>
      <c r="G72" s="44" t="n">
        <v>1</v>
      </c>
      <c r="H72" t="n">
        <v>1</v>
      </c>
      <c r="I72" s="44"/>
      <c r="J72"/>
      <c r="K72" s="44"/>
      <c r="L72"/>
      <c r="M72" s="44"/>
      <c r="N72" s="12"/>
    </row>
    <row r="73" outlineLevel="1" hidden="0">
      <c r="A73" s="7" t="s">
        <v>15</v>
      </c>
      <c r="B73" t="s">
        <v>114</v>
      </c>
      <c r="C73" s="44" t="n">
        <v>1</v>
      </c>
      <c r="D73" t="n">
        <v>21</v>
      </c>
      <c r="E73" s="44" t="n">
        <v>0.409981575416279</v>
      </c>
      <c r="F73" t="n">
        <v>21</v>
      </c>
      <c r="G73" s="44" t="n">
        <v>1</v>
      </c>
      <c r="H73" t="n">
        <v>14</v>
      </c>
      <c r="I73" s="44" t="n">
        <v>0.499340327146428</v>
      </c>
      <c r="J73" t="n">
        <v>14</v>
      </c>
      <c r="K73" s="44" t="n">
        <v>1</v>
      </c>
      <c r="L73" t="n">
        <v>7</v>
      </c>
      <c r="M73" s="44" t="n">
        <v>0.159357601887417</v>
      </c>
      <c r="N73" s="12" t="n">
        <v>7</v>
      </c>
    </row>
    <row r="74" outlineLevel="1" hidden="0">
      <c r="A74" s="7" t="s">
        <v>15</v>
      </c>
      <c r="B74" t="s">
        <v>115</v>
      </c>
      <c r="C74" s="44" t="n">
        <v>1</v>
      </c>
      <c r="D74" t="n">
        <v>2</v>
      </c>
      <c r="E74" s="44"/>
      <c r="F74"/>
      <c r="G74" s="44" t="n">
        <v>1</v>
      </c>
      <c r="H74" t="n">
        <v>1</v>
      </c>
      <c r="I74" s="44"/>
      <c r="J74"/>
      <c r="K74" s="44" t="n">
        <v>1</v>
      </c>
      <c r="L74" t="n">
        <v>1</v>
      </c>
      <c r="M74" s="44"/>
      <c r="N74" s="12"/>
    </row>
    <row r="75" outlineLevel="1" hidden="0">
      <c r="A75" s="7" t="s">
        <v>15</v>
      </c>
      <c r="B75" t="s">
        <v>116</v>
      </c>
      <c r="C75" s="44" t="n">
        <v>1</v>
      </c>
      <c r="D75" t="n">
        <v>3</v>
      </c>
      <c r="E75" s="44" t="n">
        <v>0.626815531178059</v>
      </c>
      <c r="F75" t="n">
        <v>3</v>
      </c>
      <c r="G75" s="44" t="n">
        <v>1</v>
      </c>
      <c r="H75" t="n">
        <v>2</v>
      </c>
      <c r="I75" s="44" t="n">
        <v>0.694291643228955</v>
      </c>
      <c r="J75" t="n">
        <v>2</v>
      </c>
      <c r="K75" s="44" t="n">
        <v>1</v>
      </c>
      <c r="L75" t="n">
        <v>1</v>
      </c>
      <c r="M75" s="44"/>
      <c r="N75" s="12"/>
    </row>
    <row r="76" outlineLevel="1" hidden="0">
      <c r="A76" s="7" t="s">
        <v>15</v>
      </c>
      <c r="B76" t="s">
        <v>117</v>
      </c>
      <c r="C76" s="44" t="n">
        <v>1</v>
      </c>
      <c r="D76" t="n">
        <v>1</v>
      </c>
      <c r="E76" s="44"/>
      <c r="F76"/>
      <c r="G76" s="44"/>
      <c r="H76"/>
      <c r="I76" s="44"/>
      <c r="J76"/>
      <c r="K76" s="44" t="n">
        <v>1</v>
      </c>
      <c r="L76" t="n">
        <v>1</v>
      </c>
      <c r="M76" s="44"/>
      <c r="N76" s="12"/>
    </row>
    <row r="77" outlineLevel="1" hidden="0">
      <c r="A77" s="7" t="s">
        <v>15</v>
      </c>
      <c r="B77" t="s">
        <v>119</v>
      </c>
      <c r="C77" s="44" t="n">
        <v>0.895804148041065</v>
      </c>
      <c r="D77" t="n">
        <v>17</v>
      </c>
      <c r="E77" s="44" t="n">
        <v>0.310981882481471</v>
      </c>
      <c r="F77" t="n">
        <v>17</v>
      </c>
      <c r="G77" s="44" t="n">
        <v>1</v>
      </c>
      <c r="H77" t="n">
        <v>8</v>
      </c>
      <c r="I77" s="44" t="n">
        <v>0.4998561627663</v>
      </c>
      <c r="J77" t="n">
        <v>8</v>
      </c>
      <c r="K77" s="44" t="n">
        <v>0.781094459898892</v>
      </c>
      <c r="L77" t="n">
        <v>9</v>
      </c>
      <c r="M77" s="44" t="n">
        <v>0.10304932679692</v>
      </c>
      <c r="N77" s="12" t="n">
        <v>9</v>
      </c>
    </row>
    <row r="78" outlineLevel="1" hidden="0">
      <c r="A78" s="7" t="s">
        <v>15</v>
      </c>
      <c r="B78" t="s">
        <v>121</v>
      </c>
      <c r="C78" s="44" t="n">
        <v>0.586057445739342</v>
      </c>
      <c r="D78" t="n">
        <v>14</v>
      </c>
      <c r="E78" s="44" t="n">
        <v>0.42452155283612</v>
      </c>
      <c r="F78" t="n">
        <v>14</v>
      </c>
      <c r="G78" s="44" t="n">
        <v>0.737018254251207</v>
      </c>
      <c r="H78" t="n">
        <v>9</v>
      </c>
      <c r="I78" s="44" t="n">
        <v>0.609507458755291</v>
      </c>
      <c r="J78" t="n">
        <v>9</v>
      </c>
      <c r="K78" s="44" t="n">
        <v>0.280721720730444</v>
      </c>
      <c r="L78" t="n">
        <v>5</v>
      </c>
      <c r="M78" s="44" t="n">
        <v>0.0503661262916315</v>
      </c>
      <c r="N78" s="12" t="n">
        <v>5</v>
      </c>
    </row>
    <row r="79" outlineLevel="1" hidden="0">
      <c r="A79" s="7" t="s">
        <v>15</v>
      </c>
      <c r="B79" t="s">
        <v>122</v>
      </c>
      <c r="C79" s="44" t="n">
        <v>1</v>
      </c>
      <c r="D79" t="n">
        <v>14</v>
      </c>
      <c r="E79" s="44" t="n">
        <v>0.873327962478578</v>
      </c>
      <c r="F79" t="n">
        <v>14</v>
      </c>
      <c r="G79" s="44" t="n">
        <v>1</v>
      </c>
      <c r="H79" t="n">
        <v>6</v>
      </c>
      <c r="I79" s="44" t="n">
        <v>0.971129781644635</v>
      </c>
      <c r="J79" t="n">
        <v>6</v>
      </c>
      <c r="K79" s="44" t="n">
        <v>1</v>
      </c>
      <c r="L79" t="n">
        <v>8</v>
      </c>
      <c r="M79" s="44" t="n">
        <v>0.778155684139032</v>
      </c>
      <c r="N79" s="12" t="n">
        <v>8</v>
      </c>
    </row>
    <row r="80" outlineLevel="1" hidden="0">
      <c r="A80" s="7" t="s">
        <v>15</v>
      </c>
      <c r="B80" t="s">
        <v>128</v>
      </c>
      <c r="C80" s="44" t="n">
        <v>1</v>
      </c>
      <c r="D80" t="n">
        <v>8</v>
      </c>
      <c r="E80" s="44" t="n">
        <v>0.482349628827617</v>
      </c>
      <c r="F80" t="n">
        <v>8</v>
      </c>
      <c r="G80" s="44"/>
      <c r="H80"/>
      <c r="I80" s="44"/>
      <c r="J80"/>
      <c r="K80" s="44" t="n">
        <v>1</v>
      </c>
      <c r="L80" t="n">
        <v>8</v>
      </c>
      <c r="M80" s="44" t="n">
        <v>0.482349628827617</v>
      </c>
      <c r="N80" s="12" t="n">
        <v>8</v>
      </c>
    </row>
    <row r="81" outlineLevel="1" hidden="0">
      <c r="A81" s="7" t="s">
        <v>15</v>
      </c>
      <c r="B81" t="s">
        <v>129</v>
      </c>
      <c r="C81" s="44" t="n">
        <v>1</v>
      </c>
      <c r="D81" t="n">
        <v>2</v>
      </c>
      <c r="E81" s="44" t="n">
        <v>0.243319225297295</v>
      </c>
      <c r="F81" t="n">
        <v>2</v>
      </c>
      <c r="G81" s="44"/>
      <c r="H81"/>
      <c r="I81" s="44"/>
      <c r="J81"/>
      <c r="K81" s="44" t="n">
        <v>1</v>
      </c>
      <c r="L81" t="n">
        <v>2</v>
      </c>
      <c r="M81" s="44" t="n">
        <v>0.243319225297295</v>
      </c>
      <c r="N81" s="12" t="n">
        <v>2</v>
      </c>
    </row>
    <row r="82" outlineLevel="1" hidden="0">
      <c r="A82" s="7" t="s">
        <v>15</v>
      </c>
      <c r="B82" t="s">
        <v>130</v>
      </c>
      <c r="C82" s="44" t="n">
        <v>0.954063177368187</v>
      </c>
      <c r="D82" t="n">
        <v>44</v>
      </c>
      <c r="E82" s="44" t="n">
        <v>0.598892455492621</v>
      </c>
      <c r="F82" t="n">
        <v>44</v>
      </c>
      <c r="G82" s="44" t="n">
        <v>0.92716625516109</v>
      </c>
      <c r="H82" t="n">
        <v>29</v>
      </c>
      <c r="I82" s="44" t="n">
        <v>0.57874557582145</v>
      </c>
      <c r="J82" t="n">
        <v>29</v>
      </c>
      <c r="K82" s="44" t="n">
        <v>1</v>
      </c>
      <c r="L82" t="n">
        <v>15</v>
      </c>
      <c r="M82" s="44" t="n">
        <v>0.633300988592175</v>
      </c>
      <c r="N82" s="12" t="n">
        <v>15</v>
      </c>
    </row>
    <row r="83" outlineLevel="1" hidden="0">
      <c r="A83" s="7" t="s">
        <v>15</v>
      </c>
      <c r="B83" t="s">
        <v>135</v>
      </c>
      <c r="C83" s="44" t="n">
        <v>1</v>
      </c>
      <c r="D83" t="n">
        <v>10</v>
      </c>
      <c r="E83" s="44" t="n">
        <v>1</v>
      </c>
      <c r="F83" t="n">
        <v>10</v>
      </c>
      <c r="G83" s="44" t="n">
        <v>1</v>
      </c>
      <c r="H83" t="n">
        <v>4</v>
      </c>
      <c r="I83" s="44" t="n">
        <v>1</v>
      </c>
      <c r="J83" t="n">
        <v>4</v>
      </c>
      <c r="K83" s="44" t="n">
        <v>1</v>
      </c>
      <c r="L83" t="n">
        <v>6</v>
      </c>
      <c r="M83" s="44" t="n">
        <v>1</v>
      </c>
      <c r="N83" s="12" t="n">
        <v>6</v>
      </c>
    </row>
    <row r="84" outlineLevel="1" hidden="0">
      <c r="A84" s="7" t="s">
        <v>15</v>
      </c>
      <c r="B84" t="s">
        <v>136</v>
      </c>
      <c r="C84" s="44" t="n">
        <v>1</v>
      </c>
      <c r="D84" t="n">
        <v>1</v>
      </c>
      <c r="E84" s="44" t="n">
        <v>1</v>
      </c>
      <c r="F84" t="n">
        <v>1</v>
      </c>
      <c r="G84" s="44" t="n">
        <v>1</v>
      </c>
      <c r="H84" t="n">
        <v>1</v>
      </c>
      <c r="I84" s="44" t="n">
        <v>1</v>
      </c>
      <c r="J84" t="n">
        <v>1</v>
      </c>
      <c r="K84" s="44"/>
      <c r="L84"/>
      <c r="M84" s="44"/>
      <c r="N84" s="12"/>
    </row>
    <row r="85" outlineLevel="1" hidden="0">
      <c r="A85" s="7" t="s">
        <v>15</v>
      </c>
      <c r="B85" t="s">
        <v>145</v>
      </c>
      <c r="C85" s="44" t="n">
        <v>0.908551333116292</v>
      </c>
      <c r="D85" t="n">
        <v>49</v>
      </c>
      <c r="E85" s="44" t="n">
        <v>0.531832425403498</v>
      </c>
      <c r="F85" t="n">
        <v>49</v>
      </c>
      <c r="G85" s="44" t="n">
        <v>0.982335920629281</v>
      </c>
      <c r="H85" t="n">
        <v>20</v>
      </c>
      <c r="I85" s="44" t="n">
        <v>0.807643044118089</v>
      </c>
      <c r="J85" t="n">
        <v>20</v>
      </c>
      <c r="K85" s="44" t="n">
        <v>0.854312155792759</v>
      </c>
      <c r="L85" t="n">
        <v>29</v>
      </c>
      <c r="M85" s="44" t="n">
        <v>0.32908356469406</v>
      </c>
      <c r="N85" s="12" t="n">
        <v>29</v>
      </c>
    </row>
    <row r="86" outlineLevel="1" hidden="0">
      <c r="A86" s="7" t="s">
        <v>15</v>
      </c>
      <c r="B86" t="s">
        <v>146</v>
      </c>
      <c r="C86" s="44" t="n">
        <v>1</v>
      </c>
      <c r="D86" t="n">
        <v>1</v>
      </c>
      <c r="E86" s="44" t="n">
        <v>1</v>
      </c>
      <c r="F86" t="n">
        <v>1</v>
      </c>
      <c r="G86" s="44" t="n">
        <v>1</v>
      </c>
      <c r="H86" t="n">
        <v>1</v>
      </c>
      <c r="I86" s="44" t="n">
        <v>1</v>
      </c>
      <c r="J86" t="n">
        <v>1</v>
      </c>
      <c r="K86" s="44"/>
      <c r="L86"/>
      <c r="M86" s="44"/>
      <c r="N86" s="12"/>
    </row>
    <row r="87" outlineLevel="1" hidden="0">
      <c r="A87" s="7" t="s">
        <v>15</v>
      </c>
      <c r="B87" t="s">
        <v>149</v>
      </c>
      <c r="C87" s="44" t="n">
        <v>0.819857060407179</v>
      </c>
      <c r="D87" t="n">
        <v>2</v>
      </c>
      <c r="E87" s="44"/>
      <c r="F87"/>
      <c r="G87" s="44"/>
      <c r="H87"/>
      <c r="I87" s="44"/>
      <c r="J87"/>
      <c r="K87" s="44" t="n">
        <v>0.819857060407179</v>
      </c>
      <c r="L87" t="n">
        <v>2</v>
      </c>
      <c r="M87" s="44"/>
      <c r="N87" s="12"/>
    </row>
    <row r="88" outlineLevel="1" hidden="0">
      <c r="A88" s="7" t="s">
        <v>15</v>
      </c>
      <c r="B88" t="s">
        <v>150</v>
      </c>
      <c r="C88" s="44" t="n">
        <v>0.44694870586377</v>
      </c>
      <c r="D88" t="n">
        <v>6</v>
      </c>
      <c r="E88" s="44" t="n">
        <v>0.0583394989611175</v>
      </c>
      <c r="F88" t="n">
        <v>6</v>
      </c>
      <c r="G88" s="44" t="n">
        <v>0.0980319621797119</v>
      </c>
      <c r="H88" t="n">
        <v>2</v>
      </c>
      <c r="I88" s="44" t="n">
        <v>0.0980319621797119</v>
      </c>
      <c r="J88" t="n">
        <v>2</v>
      </c>
      <c r="K88" s="44" t="n">
        <v>0.959782285719221</v>
      </c>
      <c r="L88" t="n">
        <v>4</v>
      </c>
      <c r="M88" s="44"/>
      <c r="N88" s="12"/>
    </row>
    <row r="89" outlineLevel="1" hidden="0">
      <c r="A89" s="7" t="s">
        <v>15</v>
      </c>
      <c r="B89" t="s">
        <v>151</v>
      </c>
      <c r="C89" s="44" t="n">
        <v>0.773272552947239</v>
      </c>
      <c r="D89" t="n">
        <v>4</v>
      </c>
      <c r="E89" s="44" t="n">
        <v>0.773272552947239</v>
      </c>
      <c r="F89" t="n">
        <v>4</v>
      </c>
      <c r="G89" s="44" t="n">
        <v>0.706794911847556</v>
      </c>
      <c r="H89" t="n">
        <v>3</v>
      </c>
      <c r="I89" s="44" t="n">
        <v>0.706794911847556</v>
      </c>
      <c r="J89" t="n">
        <v>3</v>
      </c>
      <c r="K89" s="44" t="n">
        <v>1</v>
      </c>
      <c r="L89" t="n">
        <v>1</v>
      </c>
      <c r="M89" s="44" t="n">
        <v>1</v>
      </c>
      <c r="N89" s="12" t="n">
        <v>1</v>
      </c>
    </row>
    <row r="90" outlineLevel="1" hidden="0">
      <c r="A90" s="7" t="s">
        <v>15</v>
      </c>
      <c r="B90" t="s">
        <v>64</v>
      </c>
      <c r="C90" s="44" t="n">
        <v>1</v>
      </c>
      <c r="D90" t="n">
        <v>3</v>
      </c>
      <c r="E90" s="44" t="n">
        <v>0.0438478745340891</v>
      </c>
      <c r="F90" t="n">
        <v>3</v>
      </c>
      <c r="G90" s="44" t="n">
        <v>1</v>
      </c>
      <c r="H90" t="n">
        <v>2</v>
      </c>
      <c r="I90" s="44" t="n">
        <v>0.0750604168753927</v>
      </c>
      <c r="J90" t="n">
        <v>2</v>
      </c>
      <c r="K90" s="44" t="n">
        <v>1</v>
      </c>
      <c r="L90" t="n">
        <v>1</v>
      </c>
      <c r="M90" s="44"/>
      <c r="N90" s="12"/>
    </row>
    <row r="91" outlineLevel="1" hidden="0">
      <c r="A91" s="7" t="s">
        <v>15</v>
      </c>
      <c r="B91" t="s">
        <v>68</v>
      </c>
      <c r="C91" s="44" t="n">
        <v>1</v>
      </c>
      <c r="D91" t="n">
        <v>2</v>
      </c>
      <c r="E91" s="44" t="n">
        <v>0.5</v>
      </c>
      <c r="F91" t="n">
        <v>2</v>
      </c>
      <c r="G91" s="44"/>
      <c r="H91"/>
      <c r="I91" s="44"/>
      <c r="J91"/>
      <c r="K91" s="44" t="n">
        <v>1</v>
      </c>
      <c r="L91" t="n">
        <v>2</v>
      </c>
      <c r="M91" s="44" t="n">
        <v>0.5</v>
      </c>
      <c r="N91" s="12" t="n">
        <v>2</v>
      </c>
    </row>
    <row r="92" outlineLevel="1" hidden="0">
      <c r="A92" s="7" t="s">
        <v>15</v>
      </c>
      <c r="B92" t="s">
        <v>70</v>
      </c>
      <c r="C92" s="44" t="n">
        <v>1</v>
      </c>
      <c r="D92" t="n">
        <v>1</v>
      </c>
      <c r="E92" s="44" t="n">
        <v>1</v>
      </c>
      <c r="F92" t="n">
        <v>1</v>
      </c>
      <c r="G92" s="44"/>
      <c r="H92"/>
      <c r="I92" s="44"/>
      <c r="J92"/>
      <c r="K92" s="44" t="n">
        <v>1</v>
      </c>
      <c r="L92" t="n">
        <v>1</v>
      </c>
      <c r="M92" s="44" t="n">
        <v>1</v>
      </c>
      <c r="N92" s="12" t="n">
        <v>1</v>
      </c>
    </row>
    <row r="93" outlineLevel="1" hidden="0">
      <c r="A93" s="7" t="s">
        <v>15</v>
      </c>
      <c r="B93" t="s">
        <v>80</v>
      </c>
      <c r="C93" s="44" t="n">
        <v>1</v>
      </c>
      <c r="D93" t="n">
        <v>1</v>
      </c>
      <c r="E93" s="44" t="n">
        <v>1</v>
      </c>
      <c r="F93" t="n">
        <v>1</v>
      </c>
      <c r="G93" s="44"/>
      <c r="H93"/>
      <c r="I93" s="44"/>
      <c r="J93"/>
      <c r="K93" s="44" t="n">
        <v>1</v>
      </c>
      <c r="L93" t="n">
        <v>1</v>
      </c>
      <c r="M93" s="44" t="n">
        <v>1</v>
      </c>
      <c r="N93" s="12" t="n">
        <v>1</v>
      </c>
    </row>
    <row r="94" outlineLevel="1" hidden="0">
      <c r="A94" s="7" t="s">
        <v>15</v>
      </c>
      <c r="B94" t="s">
        <v>83</v>
      </c>
      <c r="C94" s="44" t="n">
        <v>1</v>
      </c>
      <c r="D94" t="n">
        <v>1</v>
      </c>
      <c r="E94" s="44" t="n">
        <v>1</v>
      </c>
      <c r="F94" t="n">
        <v>1</v>
      </c>
      <c r="G94" s="44" t="n">
        <v>1</v>
      </c>
      <c r="H94" t="n">
        <v>1</v>
      </c>
      <c r="I94" s="44" t="n">
        <v>1</v>
      </c>
      <c r="J94" t="n">
        <v>1</v>
      </c>
      <c r="K94" s="44"/>
      <c r="L94"/>
      <c r="M94" s="44"/>
      <c r="N94" s="12"/>
    </row>
    <row r="95" outlineLevel="1" hidden="0">
      <c r="A95" s="7" t="s">
        <v>15</v>
      </c>
      <c r="B95" t="s">
        <v>92</v>
      </c>
      <c r="C95" s="44" t="n">
        <v>1</v>
      </c>
      <c r="D95" t="n">
        <v>2</v>
      </c>
      <c r="E95" s="44" t="n">
        <v>1</v>
      </c>
      <c r="F95" t="n">
        <v>2</v>
      </c>
      <c r="G95" s="44" t="n">
        <v>1</v>
      </c>
      <c r="H95" t="n">
        <v>1</v>
      </c>
      <c r="I95" s="44" t="n">
        <v>1</v>
      </c>
      <c r="J95" t="n">
        <v>1</v>
      </c>
      <c r="K95" s="44" t="n">
        <v>1</v>
      </c>
      <c r="L95" t="n">
        <v>1</v>
      </c>
      <c r="M95" s="44" t="n">
        <v>1</v>
      </c>
      <c r="N95" s="12" t="n">
        <v>1</v>
      </c>
    </row>
    <row r="96" outlineLevel="1" hidden="0">
      <c r="A96" s="7" t="s">
        <v>15</v>
      </c>
      <c r="B96" t="s">
        <v>93</v>
      </c>
      <c r="C96" s="44" t="n">
        <v>1</v>
      </c>
      <c r="D96" t="n">
        <v>2</v>
      </c>
      <c r="E96" s="44" t="n">
        <v>1</v>
      </c>
      <c r="F96" t="n">
        <v>2</v>
      </c>
      <c r="G96" s="44"/>
      <c r="H96"/>
      <c r="I96" s="44"/>
      <c r="J96"/>
      <c r="K96" s="44" t="n">
        <v>1</v>
      </c>
      <c r="L96" t="n">
        <v>2</v>
      </c>
      <c r="M96" s="44" t="n">
        <v>1</v>
      </c>
      <c r="N96" s="12" t="n">
        <v>2</v>
      </c>
    </row>
    <row r="97" outlineLevel="1" hidden="0">
      <c r="A97" s="7" t="s">
        <v>15</v>
      </c>
      <c r="B97" t="s">
        <v>100</v>
      </c>
      <c r="C97" s="44" t="n">
        <v>1</v>
      </c>
      <c r="D97" t="n">
        <v>11</v>
      </c>
      <c r="E97" s="44" t="n">
        <v>0.828008227513854</v>
      </c>
      <c r="F97" t="n">
        <v>11</v>
      </c>
      <c r="G97" s="44" t="n">
        <v>1</v>
      </c>
      <c r="H97" t="n">
        <v>6</v>
      </c>
      <c r="I97" s="44" t="n">
        <v>0.901879417027665</v>
      </c>
      <c r="J97" t="n">
        <v>6</v>
      </c>
      <c r="K97" s="44" t="n">
        <v>1</v>
      </c>
      <c r="L97" t="n">
        <v>5</v>
      </c>
      <c r="M97" s="44" t="n">
        <v>0.773328145553104</v>
      </c>
      <c r="N97" s="12" t="n">
        <v>5</v>
      </c>
    </row>
    <row r="98" outlineLevel="1" hidden="0">
      <c r="A98" s="7" t="s">
        <v>15</v>
      </c>
      <c r="B98" t="s">
        <v>101</v>
      </c>
      <c r="C98" s="44" t="n">
        <v>1</v>
      </c>
      <c r="D98" t="n">
        <v>1</v>
      </c>
      <c r="E98" s="44" t="n">
        <v>1</v>
      </c>
      <c r="F98" t="n">
        <v>1</v>
      </c>
      <c r="G98" s="44" t="n">
        <v>1</v>
      </c>
      <c r="H98" t="n">
        <v>1</v>
      </c>
      <c r="I98" s="44" t="n">
        <v>1</v>
      </c>
      <c r="J98" t="n">
        <v>1</v>
      </c>
      <c r="K98" s="44"/>
      <c r="L98"/>
      <c r="M98" s="44"/>
      <c r="N98" s="12"/>
    </row>
    <row r="99" outlineLevel="1" hidden="0">
      <c r="A99" s="7" t="s">
        <v>15</v>
      </c>
      <c r="B99" t="s">
        <v>102</v>
      </c>
      <c r="C99" s="44" t="n">
        <v>1</v>
      </c>
      <c r="D99" t="n">
        <v>1</v>
      </c>
      <c r="E99" s="44" t="n">
        <v>1</v>
      </c>
      <c r="F99" t="n">
        <v>1</v>
      </c>
      <c r="G99" s="44" t="n">
        <v>1</v>
      </c>
      <c r="H99" t="n">
        <v>1</v>
      </c>
      <c r="I99" s="44" t="n">
        <v>1</v>
      </c>
      <c r="J99" t="n">
        <v>1</v>
      </c>
      <c r="K99" s="44"/>
      <c r="L99"/>
      <c r="M99" s="44"/>
      <c r="N99" s="12"/>
    </row>
    <row r="100" outlineLevel="1" hidden="0">
      <c r="A100" s="7" t="s">
        <v>15</v>
      </c>
      <c r="B100" t="s">
        <v>107</v>
      </c>
      <c r="C100" s="44" t="n">
        <v>1</v>
      </c>
      <c r="D100" t="n">
        <v>1</v>
      </c>
      <c r="E100" s="44" t="n">
        <v>1</v>
      </c>
      <c r="F100" t="n">
        <v>1</v>
      </c>
      <c r="G100" s="44"/>
      <c r="H100"/>
      <c r="I100" s="44"/>
      <c r="J100"/>
      <c r="K100" s="44" t="n">
        <v>1</v>
      </c>
      <c r="L100" t="n">
        <v>1</v>
      </c>
      <c r="M100" s="44" t="n">
        <v>1</v>
      </c>
      <c r="N100" s="12" t="n">
        <v>1</v>
      </c>
    </row>
    <row r="101" outlineLevel="1" hidden="0">
      <c r="A101" s="7" t="s">
        <v>15</v>
      </c>
      <c r="B101" t="s">
        <v>125</v>
      </c>
      <c r="C101" s="44" t="n">
        <v>1</v>
      </c>
      <c r="D101" t="n">
        <v>5</v>
      </c>
      <c r="E101" s="44" t="n">
        <v>1</v>
      </c>
      <c r="F101" t="n">
        <v>5</v>
      </c>
      <c r="G101" s="44" t="n">
        <v>1</v>
      </c>
      <c r="H101" t="n">
        <v>3</v>
      </c>
      <c r="I101" s="44" t="n">
        <v>1</v>
      </c>
      <c r="J101" t="n">
        <v>3</v>
      </c>
      <c r="K101" s="44" t="n">
        <v>1</v>
      </c>
      <c r="L101" t="n">
        <v>2</v>
      </c>
      <c r="M101" s="44" t="n">
        <v>1</v>
      </c>
      <c r="N101" s="12" t="n">
        <v>2</v>
      </c>
    </row>
    <row r="102" outlineLevel="1" hidden="0">
      <c r="A102" s="7" t="s">
        <v>15</v>
      </c>
      <c r="B102" t="s">
        <v>131</v>
      </c>
      <c r="C102" s="44" t="n">
        <v>1</v>
      </c>
      <c r="D102" t="n">
        <v>4</v>
      </c>
      <c r="E102" s="44" t="n">
        <v>1</v>
      </c>
      <c r="F102" t="n">
        <v>4</v>
      </c>
      <c r="G102" s="44" t="n">
        <v>1</v>
      </c>
      <c r="H102" t="n">
        <v>3</v>
      </c>
      <c r="I102" s="44" t="n">
        <v>1</v>
      </c>
      <c r="J102" t="n">
        <v>3</v>
      </c>
      <c r="K102" s="44" t="n">
        <v>1</v>
      </c>
      <c r="L102" t="n">
        <v>1</v>
      </c>
      <c r="M102" s="44" t="n">
        <v>1</v>
      </c>
      <c r="N102" s="12" t="n">
        <v>1</v>
      </c>
    </row>
    <row r="103" outlineLevel="1" hidden="0">
      <c r="A103" s="7" t="s">
        <v>15</v>
      </c>
      <c r="B103" t="s">
        <v>133</v>
      </c>
      <c r="C103" s="44" t="n">
        <v>1</v>
      </c>
      <c r="D103" t="n">
        <v>1</v>
      </c>
      <c r="E103" s="44" t="n">
        <v>1</v>
      </c>
      <c r="F103" t="n">
        <v>1</v>
      </c>
      <c r="G103" s="44" t="n">
        <v>1</v>
      </c>
      <c r="H103" t="n">
        <v>1</v>
      </c>
      <c r="I103" s="44" t="n">
        <v>1</v>
      </c>
      <c r="J103" t="n">
        <v>1</v>
      </c>
      <c r="K103" s="44"/>
      <c r="L103"/>
      <c r="M103" s="44"/>
      <c r="N103" s="12"/>
    </row>
    <row r="104" outlineLevel="1" hidden="0">
      <c r="A104" s="7" t="s">
        <v>15</v>
      </c>
      <c r="B104" t="s">
        <v>139</v>
      </c>
      <c r="C104" s="44" t="n">
        <v>1</v>
      </c>
      <c r="D104" t="n">
        <v>1</v>
      </c>
      <c r="E104" s="44" t="n">
        <v>1</v>
      </c>
      <c r="F104" t="n">
        <v>1</v>
      </c>
      <c r="G104" s="44" t="n">
        <v>1</v>
      </c>
      <c r="H104" t="n">
        <v>1</v>
      </c>
      <c r="I104" s="44" t="n">
        <v>1</v>
      </c>
      <c r="J104" t="n">
        <v>1</v>
      </c>
      <c r="K104" s="44"/>
      <c r="L104"/>
      <c r="M104" s="44"/>
      <c r="N104" s="12"/>
    </row>
    <row r="105" outlineLevel="1" hidden="0">
      <c r="A105" s="7" t="s">
        <v>15</v>
      </c>
      <c r="B105" t="s">
        <v>142</v>
      </c>
      <c r="C105" s="44" t="n">
        <v>1</v>
      </c>
      <c r="D105" t="n">
        <v>10</v>
      </c>
      <c r="E105" s="44" t="n">
        <v>1</v>
      </c>
      <c r="F105" t="n">
        <v>10</v>
      </c>
      <c r="G105" s="44" t="n">
        <v>1</v>
      </c>
      <c r="H105" t="n">
        <v>4</v>
      </c>
      <c r="I105" s="44" t="n">
        <v>1</v>
      </c>
      <c r="J105" t="n">
        <v>4</v>
      </c>
      <c r="K105" s="44" t="n">
        <v>1</v>
      </c>
      <c r="L105" t="n">
        <v>6</v>
      </c>
      <c r="M105" s="44" t="n">
        <v>1</v>
      </c>
      <c r="N105" s="12" t="n">
        <v>6</v>
      </c>
    </row>
    <row r="106" outlineLevel="1" hidden="0">
      <c r="A106" s="7" t="s">
        <v>15</v>
      </c>
      <c r="B106" t="s">
        <v>144</v>
      </c>
      <c r="C106" s="44" t="n">
        <v>1</v>
      </c>
      <c r="D106" t="n">
        <v>2</v>
      </c>
      <c r="E106" s="44" t="n">
        <v>0.942213865973823</v>
      </c>
      <c r="F106" t="n">
        <v>2</v>
      </c>
      <c r="G106" s="44" t="n">
        <v>1</v>
      </c>
      <c r="H106" t="n">
        <v>1</v>
      </c>
      <c r="I106" s="44" t="n">
        <v>1</v>
      </c>
      <c r="J106" t="n">
        <v>1</v>
      </c>
      <c r="K106" s="44" t="n">
        <v>1</v>
      </c>
      <c r="L106" t="n">
        <v>1</v>
      </c>
      <c r="M106" s="44"/>
      <c r="N106" s="12"/>
    </row>
    <row r="107" outlineLevel="1" hidden="0">
      <c r="A107" s="7" t="s">
        <v>15</v>
      </c>
      <c r="B107" t="s">
        <v>147</v>
      </c>
      <c r="C107" s="44" t="n">
        <v>1</v>
      </c>
      <c r="D107" t="n">
        <v>1</v>
      </c>
      <c r="E107" s="44" t="n">
        <v>1</v>
      </c>
      <c r="F107" t="n">
        <v>1</v>
      </c>
      <c r="G107" s="44" t="n">
        <v>1</v>
      </c>
      <c r="H107" t="n">
        <v>1</v>
      </c>
      <c r="I107" s="44" t="n">
        <v>1</v>
      </c>
      <c r="J107" t="n">
        <v>1</v>
      </c>
      <c r="K107" s="44"/>
      <c r="L107"/>
      <c r="M107" s="44"/>
      <c r="N107" s="12"/>
    </row>
    <row r="108" outlineLevel="1" hidden="0">
      <c r="A108" s="7" t="s">
        <v>15</v>
      </c>
      <c r="B108" t="s">
        <v>60</v>
      </c>
      <c r="C108" s="44" t="n">
        <v>1</v>
      </c>
      <c r="D108" t="n">
        <v>1</v>
      </c>
      <c r="E108" s="44"/>
      <c r="F108"/>
      <c r="G108" s="44"/>
      <c r="H108"/>
      <c r="I108" s="44"/>
      <c r="J108"/>
      <c r="K108" s="44" t="n">
        <v>1</v>
      </c>
      <c r="L108" t="n">
        <v>1</v>
      </c>
      <c r="M108" s="44"/>
      <c r="N108" s="12"/>
    </row>
    <row r="109" outlineLevel="1" hidden="0">
      <c r="A109" s="7" t="s">
        <v>15</v>
      </c>
      <c r="B109" t="s">
        <v>65</v>
      </c>
      <c r="C109" s="44" t="n">
        <v>1</v>
      </c>
      <c r="D109" t="n">
        <v>1</v>
      </c>
      <c r="E109" s="44"/>
      <c r="F109"/>
      <c r="G109" s="44" t="n">
        <v>1</v>
      </c>
      <c r="H109" t="n">
        <v>1</v>
      </c>
      <c r="I109" s="44"/>
      <c r="J109"/>
      <c r="K109" s="44"/>
      <c r="L109"/>
      <c r="M109" s="44"/>
      <c r="N109" s="12"/>
    </row>
    <row r="110" outlineLevel="1" hidden="0">
      <c r="A110" s="7" t="s">
        <v>15</v>
      </c>
      <c r="B110" t="s">
        <v>66</v>
      </c>
      <c r="C110" s="44" t="n">
        <v>1</v>
      </c>
      <c r="D110" t="n">
        <v>1</v>
      </c>
      <c r="E110" s="44"/>
      <c r="F110"/>
      <c r="G110" s="44" t="n">
        <v>1</v>
      </c>
      <c r="H110" t="n">
        <v>1</v>
      </c>
      <c r="I110" s="44"/>
      <c r="J110"/>
      <c r="K110" s="44"/>
      <c r="L110"/>
      <c r="M110" s="44"/>
      <c r="N110" s="12"/>
    </row>
    <row r="111" outlineLevel="1" hidden="0">
      <c r="A111" s="7" t="s">
        <v>15</v>
      </c>
      <c r="B111" t="s">
        <v>79</v>
      </c>
      <c r="C111" s="44" t="n">
        <v>1</v>
      </c>
      <c r="D111" t="n">
        <v>1</v>
      </c>
      <c r="E111" s="44"/>
      <c r="F111"/>
      <c r="G111" s="44" t="n">
        <v>1</v>
      </c>
      <c r="H111" t="n">
        <v>1</v>
      </c>
      <c r="I111" s="44"/>
      <c r="J111"/>
      <c r="K111" s="44"/>
      <c r="L111"/>
      <c r="M111" s="44"/>
      <c r="N111" s="12"/>
    </row>
    <row r="112" outlineLevel="1" hidden="0">
      <c r="A112" s="7" t="s">
        <v>15</v>
      </c>
      <c r="B112" t="s">
        <v>98</v>
      </c>
      <c r="C112" s="44" t="n">
        <v>1</v>
      </c>
      <c r="D112" t="n">
        <v>1</v>
      </c>
      <c r="E112" s="44"/>
      <c r="F112"/>
      <c r="G112" s="44"/>
      <c r="H112"/>
      <c r="I112" s="44"/>
      <c r="J112"/>
      <c r="K112" s="44" t="n">
        <v>1</v>
      </c>
      <c r="L112" t="n">
        <v>1</v>
      </c>
      <c r="M112" s="44"/>
      <c r="N112" s="12"/>
    </row>
    <row r="113" outlineLevel="1" hidden="0">
      <c r="A113" s="7" t="s">
        <v>15</v>
      </c>
      <c r="B113" t="s">
        <v>99</v>
      </c>
      <c r="C113" s="44" t="n">
        <v>1</v>
      </c>
      <c r="D113" t="n">
        <v>1</v>
      </c>
      <c r="E113" s="44"/>
      <c r="F113"/>
      <c r="G113" s="44" t="n">
        <v>1</v>
      </c>
      <c r="H113" t="n">
        <v>1</v>
      </c>
      <c r="I113" s="44"/>
      <c r="J113"/>
      <c r="K113" s="44"/>
      <c r="L113"/>
      <c r="M113" s="44"/>
      <c r="N113" s="12"/>
    </row>
    <row r="114" outlineLevel="1" hidden="0">
      <c r="A114" s="7" t="s">
        <v>15</v>
      </c>
      <c r="B114" t="s">
        <v>103</v>
      </c>
      <c r="C114" s="44" t="n">
        <v>1</v>
      </c>
      <c r="D114" t="n">
        <v>1</v>
      </c>
      <c r="E114" s="44"/>
      <c r="F114"/>
      <c r="G114" s="44"/>
      <c r="H114"/>
      <c r="I114" s="44"/>
      <c r="J114"/>
      <c r="K114" s="44" t="n">
        <v>1</v>
      </c>
      <c r="L114" t="n">
        <v>1</v>
      </c>
      <c r="M114" s="44"/>
      <c r="N114" s="12"/>
    </row>
    <row r="115" outlineLevel="1" hidden="0">
      <c r="A115" s="8" t="s">
        <v>15</v>
      </c>
      <c r="B115" s="10" t="s">
        <v>126</v>
      </c>
      <c r="C115" s="43" t="n">
        <v>1</v>
      </c>
      <c r="D115" s="10" t="n">
        <v>1</v>
      </c>
      <c r="E115" s="43"/>
      <c r="F115" s="10"/>
      <c r="G115" s="43" t="n">
        <v>1</v>
      </c>
      <c r="H115" s="10" t="n">
        <v>1</v>
      </c>
      <c r="I115" s="43"/>
      <c r="J115" s="10"/>
      <c r="K115" s="43"/>
      <c r="L115" s="10"/>
      <c r="M115" s="43"/>
      <c r="N115" s="13"/>
    </row>
    <row r="116">
      <c r="C116" s="44"/>
      <c r="E116" s="44"/>
      <c r="G116" s="44"/>
      <c r="I116" s="44"/>
      <c r="K116" s="44"/>
      <c r="M116" s="44"/>
    </row>
    <row r="117">
      <c r="C117" s="44"/>
      <c r="E117" s="44"/>
      <c r="G117" s="44"/>
      <c r="I117" s="44"/>
      <c r="K117" s="44"/>
      <c r="M117" s="44"/>
    </row>
  </sheetData>
  <mergeCells count="18">
    <mergeCell ref="A1:N1"/>
    <mergeCell ref="C2:F2"/>
    <mergeCell ref="G2:J2"/>
    <mergeCell ref="K2:N2"/>
    <mergeCell ref="E3:F3"/>
    <mergeCell ref="I3:J3"/>
    <mergeCell ref="M3:N3"/>
    <mergeCell ref="E4:F4"/>
    <mergeCell ref="C4:D4"/>
    <mergeCell ref="I4:J4"/>
    <mergeCell ref="G4:H4"/>
    <mergeCell ref="M4:N4"/>
    <mergeCell ref="K4:L4"/>
    <mergeCell ref="A6:N6"/>
    <mergeCell ref="A9:N9"/>
    <mergeCell ref="A14:N14"/>
    <mergeCell ref="A26:N26"/>
    <mergeCell ref="A48:N48"/>
  </mergeCells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 outlineLevelRow="1"/>
  <sheetData>
    <row r="1">
      <c r="A1" s="1" t="s">
        <v>174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>
      <c r="C2" s="2" t="s">
        <v>2</v>
      </c>
      <c r="D2" s="2"/>
      <c r="E2" s="2"/>
      <c r="F2" s="2"/>
      <c r="G2" s="2" t="s">
        <v>3</v>
      </c>
      <c r="H2" s="2"/>
      <c r="I2" s="2"/>
      <c r="J2" s="2"/>
      <c r="K2" s="2" t="s">
        <v>4</v>
      </c>
      <c r="L2" s="2"/>
      <c r="M2" s="2"/>
      <c r="N2" s="2"/>
    </row>
    <row r="3">
      <c r="E3" s="2" t="s">
        <v>167</v>
      </c>
      <c r="F3" s="2"/>
      <c r="I3" s="2" t="s">
        <v>167</v>
      </c>
      <c r="J3" s="2"/>
      <c r="M3" s="2" t="s">
        <v>167</v>
      </c>
      <c r="N3" s="2"/>
    </row>
    <row r="4">
      <c r="C4" s="2" t="s">
        <v>10</v>
      </c>
      <c r="D4" s="2"/>
      <c r="E4" s="2" t="s">
        <v>175</v>
      </c>
      <c r="F4" s="2"/>
      <c r="G4" s="2" t="s">
        <v>10</v>
      </c>
      <c r="H4" s="2"/>
      <c r="I4" s="2" t="s">
        <v>175</v>
      </c>
      <c r="J4" s="2"/>
      <c r="K4" s="2" t="s">
        <v>10</v>
      </c>
      <c r="L4" s="2"/>
      <c r="M4" s="2" t="s">
        <v>175</v>
      </c>
      <c r="N4" s="2"/>
    </row>
    <row r="5">
      <c r="A5" s="2" t="s">
        <v>11</v>
      </c>
      <c r="B5" s="2" t="s">
        <v>12</v>
      </c>
      <c r="C5" s="2" t="s">
        <v>13</v>
      </c>
      <c r="D5" s="2" t="s">
        <v>14</v>
      </c>
      <c r="E5" s="2" t="s">
        <v>13</v>
      </c>
      <c r="F5" s="2" t="s">
        <v>14</v>
      </c>
      <c r="G5" s="2" t="s">
        <v>13</v>
      </c>
      <c r="H5" s="2" t="s">
        <v>14</v>
      </c>
      <c r="I5" s="2" t="s">
        <v>13</v>
      </c>
      <c r="J5" s="2" t="s">
        <v>14</v>
      </c>
      <c r="K5" s="2" t="s">
        <v>13</v>
      </c>
      <c r="L5" s="2" t="s">
        <v>14</v>
      </c>
      <c r="M5" s="2" t="s">
        <v>13</v>
      </c>
      <c r="N5" s="2" t="s">
        <v>14</v>
      </c>
    </row>
    <row r="6">
      <c r="A6" s="2" t="s">
        <v>16</v>
      </c>
      <c r="B6" s="2"/>
      <c r="C6" s="45"/>
      <c r="D6" s="2"/>
      <c r="E6" s="45"/>
      <c r="F6" s="2"/>
      <c r="G6" s="45"/>
      <c r="H6" s="2"/>
      <c r="I6" s="45"/>
      <c r="J6" s="2"/>
      <c r="K6" s="45"/>
      <c r="L6" s="2"/>
      <c r="M6" s="45"/>
      <c r="N6" s="2"/>
    </row>
    <row r="7" outlineLevel="1" hidden="0">
      <c r="A7" s="3" t="s">
        <v>15</v>
      </c>
      <c r="B7" s="4" t="s">
        <v>20</v>
      </c>
      <c r="C7" s="46" t="n">
        <v>0.742372601091038</v>
      </c>
      <c r="D7" s="4" t="n">
        <v>1003</v>
      </c>
      <c r="E7" s="46" t="n">
        <v>0.332060119877103</v>
      </c>
      <c r="F7" s="4" t="n">
        <v>1003</v>
      </c>
      <c r="G7" s="46" t="n">
        <v>0.765237665536481</v>
      </c>
      <c r="H7" s="4" t="n">
        <v>528</v>
      </c>
      <c r="I7" s="46" t="n">
        <v>0.378765329828845</v>
      </c>
      <c r="J7" s="4" t="n">
        <v>528</v>
      </c>
      <c r="K7" s="46" t="n">
        <v>0.71700012996649</v>
      </c>
      <c r="L7" s="4" t="n">
        <v>475</v>
      </c>
      <c r="M7" s="46" t="n">
        <v>0.280233168166819</v>
      </c>
      <c r="N7" s="5" t="n">
        <v>475</v>
      </c>
    </row>
    <row r="8">
      <c r="C8" s="49"/>
      <c r="E8" s="49"/>
      <c r="G8" s="49"/>
      <c r="I8" s="49"/>
      <c r="K8" s="49"/>
      <c r="M8" s="49"/>
    </row>
    <row r="9">
      <c r="A9" s="2" t="s">
        <v>21</v>
      </c>
      <c r="B9" s="2"/>
      <c r="C9" s="45"/>
      <c r="D9" s="2"/>
      <c r="E9" s="45"/>
      <c r="F9" s="2"/>
      <c r="G9" s="45"/>
      <c r="H9" s="2"/>
      <c r="I9" s="45"/>
      <c r="J9" s="2"/>
      <c r="K9" s="45"/>
      <c r="L9" s="2"/>
      <c r="M9" s="45"/>
      <c r="N9" s="2"/>
    </row>
    <row r="10" outlineLevel="1" hidden="0">
      <c r="A10" s="6" t="s">
        <v>15</v>
      </c>
      <c r="B10" s="9" t="s">
        <v>23</v>
      </c>
      <c r="C10" s="47" t="n">
        <v>0.738088385898748</v>
      </c>
      <c r="D10" s="9" t="n">
        <v>473</v>
      </c>
      <c r="E10" s="47" t="n">
        <v>0.24056610909598</v>
      </c>
      <c r="F10" s="9" t="n">
        <v>473</v>
      </c>
      <c r="G10" s="47" t="n">
        <v>0.769192722710544</v>
      </c>
      <c r="H10" s="9" t="n">
        <v>237</v>
      </c>
      <c r="I10" s="47" t="n">
        <v>0.288674612009144</v>
      </c>
      <c r="J10" s="9" t="n">
        <v>237</v>
      </c>
      <c r="K10" s="47" t="n">
        <v>0.705599767476046</v>
      </c>
      <c r="L10" s="9" t="n">
        <v>236</v>
      </c>
      <c r="M10" s="47" t="n">
        <v>0.190316563397887</v>
      </c>
      <c r="N10" s="11" t="n">
        <v>236</v>
      </c>
    </row>
    <row r="11" outlineLevel="1" hidden="0">
      <c r="A11" s="7" t="s">
        <v>15</v>
      </c>
      <c r="B11" t="s">
        <v>24</v>
      </c>
      <c r="C11" s="49" t="n">
        <v>0.746868053254972</v>
      </c>
      <c r="D11" t="n">
        <v>529</v>
      </c>
      <c r="E11" s="49" t="n">
        <v>0.429463344807482</v>
      </c>
      <c r="F11" t="n">
        <v>529</v>
      </c>
      <c r="G11" s="49" t="n">
        <v>0.761135502428101</v>
      </c>
      <c r="H11" t="n">
        <v>290</v>
      </c>
      <c r="I11" s="49" t="n">
        <v>0.469021810168302</v>
      </c>
      <c r="J11" t="n">
        <v>290</v>
      </c>
      <c r="K11" s="49" t="n">
        <v>0.729986115052955</v>
      </c>
      <c r="L11" t="n">
        <v>239</v>
      </c>
      <c r="M11" s="49" t="n">
        <v>0.382655848983652</v>
      </c>
      <c r="N11" s="12" t="n">
        <v>239</v>
      </c>
    </row>
    <row r="12" outlineLevel="1" hidden="0">
      <c r="A12" s="8" t="s">
        <v>15</v>
      </c>
      <c r="B12" s="10" t="s">
        <v>22</v>
      </c>
      <c r="C12" s="48" t="n">
        <v>1</v>
      </c>
      <c r="D12" s="10" t="n">
        <v>1</v>
      </c>
      <c r="E12" s="48" t="n">
        <v>1</v>
      </c>
      <c r="F12" s="10" t="n">
        <v>1</v>
      </c>
      <c r="G12" s="48" t="n">
        <v>1</v>
      </c>
      <c r="H12" s="10" t="n">
        <v>1</v>
      </c>
      <c r="I12" s="48" t="n">
        <v>1</v>
      </c>
      <c r="J12" s="10" t="n">
        <v>1</v>
      </c>
      <c r="K12" s="48"/>
      <c r="L12" s="10"/>
      <c r="M12" s="48"/>
      <c r="N12" s="13"/>
    </row>
    <row r="13">
      <c r="C13" s="49"/>
      <c r="E13" s="49"/>
      <c r="G13" s="49"/>
      <c r="I13" s="49"/>
      <c r="K13" s="49"/>
      <c r="M13" s="49"/>
    </row>
    <row r="14">
      <c r="A14" s="2" t="s">
        <v>25</v>
      </c>
      <c r="B14" s="2"/>
      <c r="C14" s="45"/>
      <c r="D14" s="2"/>
      <c r="E14" s="45"/>
      <c r="F14" s="2"/>
      <c r="G14" s="45"/>
      <c r="H14" s="2"/>
      <c r="I14" s="45"/>
      <c r="J14" s="2"/>
      <c r="K14" s="45"/>
      <c r="L14" s="2"/>
      <c r="M14" s="45"/>
      <c r="N14" s="2"/>
    </row>
    <row r="15" outlineLevel="1" hidden="0">
      <c r="A15" s="6" t="s">
        <v>15</v>
      </c>
      <c r="B15" s="9" t="s">
        <v>26</v>
      </c>
      <c r="C15" s="47" t="n">
        <v>0.76527877351237</v>
      </c>
      <c r="D15" s="9" t="n">
        <v>221</v>
      </c>
      <c r="E15" s="47" t="n">
        <v>0.416843069787075</v>
      </c>
      <c r="F15" s="9" t="n">
        <v>221</v>
      </c>
      <c r="G15" s="47" t="n">
        <v>0.782771922373607</v>
      </c>
      <c r="H15" s="9" t="n">
        <v>124</v>
      </c>
      <c r="I15" s="47" t="n">
        <v>0.478308477358969</v>
      </c>
      <c r="J15" s="9" t="n">
        <v>124</v>
      </c>
      <c r="K15" s="47" t="n">
        <v>0.74313561521475</v>
      </c>
      <c r="L15" s="9" t="n">
        <v>97</v>
      </c>
      <c r="M15" s="47" t="n">
        <v>0.339038995718506</v>
      </c>
      <c r="N15" s="11" t="n">
        <v>97</v>
      </c>
    </row>
    <row r="16" outlineLevel="1" hidden="0">
      <c r="A16" s="7" t="s">
        <v>15</v>
      </c>
      <c r="B16" t="s">
        <v>27</v>
      </c>
      <c r="C16" s="49" t="n">
        <v>0.736822692378649</v>
      </c>
      <c r="D16" t="n">
        <v>87</v>
      </c>
      <c r="E16" s="49" t="n">
        <v>0.189730222188159</v>
      </c>
      <c r="F16" t="n">
        <v>87</v>
      </c>
      <c r="G16" s="49" t="n">
        <v>0.697318061016718</v>
      </c>
      <c r="H16" t="n">
        <v>39</v>
      </c>
      <c r="I16" s="49" t="n">
        <v>0.27326667512266</v>
      </c>
      <c r="J16" t="n">
        <v>39</v>
      </c>
      <c r="K16" s="49" t="n">
        <v>0.76400228495382</v>
      </c>
      <c r="L16" t="n">
        <v>48</v>
      </c>
      <c r="M16" s="49" t="n">
        <v>0.132256283623005</v>
      </c>
      <c r="N16" s="12" t="n">
        <v>48</v>
      </c>
    </row>
    <row r="17" outlineLevel="1" hidden="0">
      <c r="A17" s="7" t="s">
        <v>15</v>
      </c>
      <c r="B17" t="s">
        <v>28</v>
      </c>
      <c r="C17" s="49" t="n">
        <v>0.778139395139785</v>
      </c>
      <c r="D17" t="n">
        <v>106</v>
      </c>
      <c r="E17" s="49" t="n">
        <v>0.394675950590712</v>
      </c>
      <c r="F17" t="n">
        <v>106</v>
      </c>
      <c r="G17" s="49" t="n">
        <v>0.792578182342655</v>
      </c>
      <c r="H17" t="n">
        <v>57</v>
      </c>
      <c r="I17" s="49" t="n">
        <v>0.389366058216793</v>
      </c>
      <c r="J17" t="n">
        <v>57</v>
      </c>
      <c r="K17" s="49" t="n">
        <v>0.762344632495635</v>
      </c>
      <c r="L17" t="n">
        <v>49</v>
      </c>
      <c r="M17" s="49" t="n">
        <v>0.400484505598389</v>
      </c>
      <c r="N17" s="12" t="n">
        <v>49</v>
      </c>
    </row>
    <row r="18" outlineLevel="1" hidden="0">
      <c r="A18" s="7" t="s">
        <v>15</v>
      </c>
      <c r="B18" t="s">
        <v>29</v>
      </c>
      <c r="C18" s="49" t="n">
        <v>0.716678204118807</v>
      </c>
      <c r="D18" t="n">
        <v>91</v>
      </c>
      <c r="E18" s="49" t="n">
        <v>0.235136903583187</v>
      </c>
      <c r="F18" t="n">
        <v>91</v>
      </c>
      <c r="G18" s="49" t="n">
        <v>0.740685174115095</v>
      </c>
      <c r="H18" t="n">
        <v>51</v>
      </c>
      <c r="I18" s="49" t="n">
        <v>0.161204167394229</v>
      </c>
      <c r="J18" t="n">
        <v>51</v>
      </c>
      <c r="K18" s="49" t="n">
        <v>0.683095022384817</v>
      </c>
      <c r="L18" t="n">
        <v>40</v>
      </c>
      <c r="M18" s="49" t="n">
        <v>0.338560889030276</v>
      </c>
      <c r="N18" s="12" t="n">
        <v>40</v>
      </c>
    </row>
    <row r="19" outlineLevel="1" hidden="0">
      <c r="A19" s="7" t="s">
        <v>15</v>
      </c>
      <c r="B19" t="s">
        <v>30</v>
      </c>
      <c r="C19" s="49" t="n">
        <v>0.693657994723744</v>
      </c>
      <c r="D19" t="n">
        <v>73</v>
      </c>
      <c r="E19" s="49" t="n">
        <v>0.273604295905463</v>
      </c>
      <c r="F19" t="n">
        <v>73</v>
      </c>
      <c r="G19" s="49" t="n">
        <v>0.742701659520225</v>
      </c>
      <c r="H19" t="n">
        <v>40</v>
      </c>
      <c r="I19" s="49" t="n">
        <v>0.274756721984008</v>
      </c>
      <c r="J19" t="n">
        <v>40</v>
      </c>
      <c r="K19" s="49" t="n">
        <v>0.633085843473246</v>
      </c>
      <c r="L19" t="n">
        <v>33</v>
      </c>
      <c r="M19" s="49" t="n">
        <v>0.272180973912208</v>
      </c>
      <c r="N19" s="12" t="n">
        <v>33</v>
      </c>
    </row>
    <row r="20" outlineLevel="1" hidden="0">
      <c r="A20" s="7" t="s">
        <v>15</v>
      </c>
      <c r="B20" t="s">
        <v>31</v>
      </c>
      <c r="C20" s="49" t="n">
        <v>0.650008801622077</v>
      </c>
      <c r="D20" t="n">
        <v>87</v>
      </c>
      <c r="E20" s="49" t="n">
        <v>0.202445870024227</v>
      </c>
      <c r="F20" t="n">
        <v>87</v>
      </c>
      <c r="G20" s="49" t="n">
        <v>0.729982037515118</v>
      </c>
      <c r="H20" t="n">
        <v>49</v>
      </c>
      <c r="I20" s="49" t="n">
        <v>0.201849752246156</v>
      </c>
      <c r="J20" t="n">
        <v>49</v>
      </c>
      <c r="K20" s="49" t="n">
        <v>0.56553595001243</v>
      </c>
      <c r="L20" t="n">
        <v>38</v>
      </c>
      <c r="M20" s="49" t="n">
        <v>0.203075527784683</v>
      </c>
      <c r="N20" s="12" t="n">
        <v>38</v>
      </c>
    </row>
    <row r="21" outlineLevel="1" hidden="0">
      <c r="A21" s="7" t="s">
        <v>15</v>
      </c>
      <c r="B21" t="s">
        <v>32</v>
      </c>
      <c r="C21" s="49" t="n">
        <v>0.675578156438196</v>
      </c>
      <c r="D21" t="n">
        <v>80</v>
      </c>
      <c r="E21" s="49" t="n">
        <v>0.274561116719395</v>
      </c>
      <c r="F21" t="n">
        <v>80</v>
      </c>
      <c r="G21" s="49" t="n">
        <v>0.75615757231243</v>
      </c>
      <c r="H21" t="n">
        <v>41</v>
      </c>
      <c r="I21" s="49" t="n">
        <v>0.409394805933051</v>
      </c>
      <c r="J21" t="n">
        <v>41</v>
      </c>
      <c r="K21" s="49" t="n">
        <v>0.599856753586065</v>
      </c>
      <c r="L21" t="n">
        <v>39</v>
      </c>
      <c r="M21" s="49" t="n">
        <v>0.147856349897539</v>
      </c>
      <c r="N21" s="12" t="n">
        <v>39</v>
      </c>
    </row>
    <row r="22" outlineLevel="1" hidden="0">
      <c r="A22" s="7" t="s">
        <v>15</v>
      </c>
      <c r="B22" t="s">
        <v>33</v>
      </c>
      <c r="C22" s="49" t="n">
        <v>0.818093319801335</v>
      </c>
      <c r="D22" t="n">
        <v>81</v>
      </c>
      <c r="E22" s="49" t="n">
        <v>0.221133202733816</v>
      </c>
      <c r="F22" t="n">
        <v>81</v>
      </c>
      <c r="G22" s="49" t="n">
        <v>0.8</v>
      </c>
      <c r="H22" t="n">
        <v>35</v>
      </c>
      <c r="I22" s="49" t="n">
        <v>0.270765090806545</v>
      </c>
      <c r="J22" t="n">
        <v>35</v>
      </c>
      <c r="K22" s="49" t="n">
        <v>0.830774439643884</v>
      </c>
      <c r="L22" t="n">
        <v>46</v>
      </c>
      <c r="M22" s="49" t="n">
        <v>0.186347551036233</v>
      </c>
      <c r="N22" s="12" t="n">
        <v>46</v>
      </c>
    </row>
    <row r="23" outlineLevel="1" hidden="0">
      <c r="A23" s="7" t="s">
        <v>15</v>
      </c>
      <c r="B23" t="s">
        <v>34</v>
      </c>
      <c r="C23" s="49" t="n">
        <v>0.749498810701367</v>
      </c>
      <c r="D23" t="n">
        <v>94</v>
      </c>
      <c r="E23" s="49" t="n">
        <v>0.294042102885671</v>
      </c>
      <c r="F23" t="n">
        <v>94</v>
      </c>
      <c r="G23" s="49" t="n">
        <v>0.77461208303417</v>
      </c>
      <c r="H23" t="n">
        <v>49</v>
      </c>
      <c r="I23" s="49" t="n">
        <v>0.4030527123181</v>
      </c>
      <c r="J23" t="n">
        <v>49</v>
      </c>
      <c r="K23" s="49" t="n">
        <v>0.723858511295257</v>
      </c>
      <c r="L23" t="n">
        <v>45</v>
      </c>
      <c r="M23" s="49" t="n">
        <v>0.182743797063572</v>
      </c>
      <c r="N23" s="12" t="n">
        <v>45</v>
      </c>
    </row>
    <row r="24" outlineLevel="1" hidden="0">
      <c r="A24" s="8" t="s">
        <v>15</v>
      </c>
      <c r="B24" s="10" t="s">
        <v>35</v>
      </c>
      <c r="C24" s="48" t="n">
        <v>0.808686561136482</v>
      </c>
      <c r="D24" s="10" t="n">
        <v>83</v>
      </c>
      <c r="E24" s="48" t="n">
        <v>0.396477118203017</v>
      </c>
      <c r="F24" s="10" t="n">
        <v>83</v>
      </c>
      <c r="G24" s="48" t="n">
        <v>0.709403577851786</v>
      </c>
      <c r="H24" s="10" t="n">
        <v>43</v>
      </c>
      <c r="I24" s="48" t="n">
        <v>0.449330546568332</v>
      </c>
      <c r="J24" s="10" t="n">
        <v>43</v>
      </c>
      <c r="K24" s="48" t="n">
        <v>0.914287612410214</v>
      </c>
      <c r="L24" s="10" t="n">
        <v>40</v>
      </c>
      <c r="M24" s="48" t="n">
        <v>0.340260257930058</v>
      </c>
      <c r="N24" s="13" t="n">
        <v>40</v>
      </c>
    </row>
    <row r="25">
      <c r="C25" s="49"/>
      <c r="E25" s="49"/>
      <c r="G25" s="49"/>
      <c r="I25" s="49"/>
      <c r="K25" s="49"/>
      <c r="M25" s="49"/>
    </row>
    <row r="26">
      <c r="A26" s="2" t="s">
        <v>36</v>
      </c>
      <c r="B26" s="2"/>
      <c r="C26" s="45"/>
      <c r="D26" s="2"/>
      <c r="E26" s="45"/>
      <c r="F26" s="2"/>
      <c r="G26" s="45"/>
      <c r="H26" s="2"/>
      <c r="I26" s="45"/>
      <c r="J26" s="2"/>
      <c r="K26" s="45"/>
      <c r="L26" s="2"/>
      <c r="M26" s="45"/>
      <c r="N26" s="2"/>
    </row>
    <row r="27" outlineLevel="1" hidden="0">
      <c r="A27" s="6" t="s">
        <v>15</v>
      </c>
      <c r="B27" s="9" t="s">
        <v>37</v>
      </c>
      <c r="C27" s="47" t="n">
        <v>0.648648648648649</v>
      </c>
      <c r="D27" s="9" t="n">
        <v>37</v>
      </c>
      <c r="E27" s="47" t="n">
        <v>0.27027027027027</v>
      </c>
      <c r="F27" s="9" t="n">
        <v>37</v>
      </c>
      <c r="G27" s="47" t="n">
        <v>0.681818181818182</v>
      </c>
      <c r="H27" s="9" t="n">
        <v>22</v>
      </c>
      <c r="I27" s="47" t="n">
        <v>0.272727272727273</v>
      </c>
      <c r="J27" s="9" t="n">
        <v>22</v>
      </c>
      <c r="K27" s="47" t="n">
        <v>0.6</v>
      </c>
      <c r="L27" s="9" t="n">
        <v>15</v>
      </c>
      <c r="M27" s="47" t="n">
        <v>0.266666666666667</v>
      </c>
      <c r="N27" s="11" t="n">
        <v>15</v>
      </c>
    </row>
    <row r="28" outlineLevel="1" hidden="0">
      <c r="A28" s="7" t="s">
        <v>15</v>
      </c>
      <c r="B28" t="s">
        <v>38</v>
      </c>
      <c r="C28" s="49" t="n">
        <v>0.75</v>
      </c>
      <c r="D28" t="n">
        <v>36</v>
      </c>
      <c r="E28" s="49" t="n">
        <v>0.277777777777778</v>
      </c>
      <c r="F28" t="n">
        <v>36</v>
      </c>
      <c r="G28" s="49" t="n">
        <v>0.833333333333333</v>
      </c>
      <c r="H28" t="n">
        <v>18</v>
      </c>
      <c r="I28" s="49" t="n">
        <v>0.277777777777778</v>
      </c>
      <c r="J28" t="n">
        <v>18</v>
      </c>
      <c r="K28" s="49" t="n">
        <v>0.666666666666667</v>
      </c>
      <c r="L28" t="n">
        <v>18</v>
      </c>
      <c r="M28" s="49" t="n">
        <v>0.277777777777778</v>
      </c>
      <c r="N28" s="12" t="n">
        <v>18</v>
      </c>
    </row>
    <row r="29" outlineLevel="1" hidden="0">
      <c r="A29" s="7" t="s">
        <v>15</v>
      </c>
      <c r="B29" t="s">
        <v>39</v>
      </c>
      <c r="C29" s="49" t="n">
        <v>0.653061224489796</v>
      </c>
      <c r="D29" t="n">
        <v>49</v>
      </c>
      <c r="E29" s="49" t="n">
        <v>0.183673469387755</v>
      </c>
      <c r="F29" t="n">
        <v>49</v>
      </c>
      <c r="G29" s="49" t="n">
        <v>0.75</v>
      </c>
      <c r="H29" t="n">
        <v>24</v>
      </c>
      <c r="I29" s="49" t="n">
        <v>0.166666666666667</v>
      </c>
      <c r="J29" t="n">
        <v>24</v>
      </c>
      <c r="K29" s="49" t="n">
        <v>0.56</v>
      </c>
      <c r="L29" t="n">
        <v>25</v>
      </c>
      <c r="M29" s="49" t="n">
        <v>0.2</v>
      </c>
      <c r="N29" s="12" t="n">
        <v>25</v>
      </c>
    </row>
    <row r="30" outlineLevel="1" hidden="0">
      <c r="A30" s="7" t="s">
        <v>15</v>
      </c>
      <c r="B30" t="s">
        <v>40</v>
      </c>
      <c r="C30" s="49" t="n">
        <v>0.631578947368421</v>
      </c>
      <c r="D30" t="n">
        <v>38</v>
      </c>
      <c r="E30" s="49" t="n">
        <v>0.315789473684211</v>
      </c>
      <c r="F30" t="n">
        <v>38</v>
      </c>
      <c r="G30" s="49" t="n">
        <v>0.64</v>
      </c>
      <c r="H30" t="n">
        <v>25</v>
      </c>
      <c r="I30" s="49" t="n">
        <v>0.36</v>
      </c>
      <c r="J30" t="n">
        <v>25</v>
      </c>
      <c r="K30" s="49" t="n">
        <v>0.615384615384615</v>
      </c>
      <c r="L30" t="n">
        <v>13</v>
      </c>
      <c r="M30" s="49" t="n">
        <v>0.230769230769231</v>
      </c>
      <c r="N30" s="12" t="n">
        <v>13</v>
      </c>
    </row>
    <row r="31" outlineLevel="1" hidden="0">
      <c r="A31" s="7" t="s">
        <v>15</v>
      </c>
      <c r="B31" t="s">
        <v>41</v>
      </c>
      <c r="C31" s="49" t="n">
        <v>0.816326530612245</v>
      </c>
      <c r="D31" t="n">
        <v>49</v>
      </c>
      <c r="E31" s="49" t="n">
        <v>0.204081632653061</v>
      </c>
      <c r="F31" t="n">
        <v>49</v>
      </c>
      <c r="G31" s="49" t="n">
        <v>0.8</v>
      </c>
      <c r="H31" t="n">
        <v>20</v>
      </c>
      <c r="I31" s="49" t="n">
        <v>0.25</v>
      </c>
      <c r="J31" t="n">
        <v>20</v>
      </c>
      <c r="K31" s="49" t="n">
        <v>0.827586206896552</v>
      </c>
      <c r="L31" t="n">
        <v>29</v>
      </c>
      <c r="M31" s="49" t="n">
        <v>0.172413793103448</v>
      </c>
      <c r="N31" s="12" t="n">
        <v>29</v>
      </c>
    </row>
    <row r="32" outlineLevel="1" hidden="0">
      <c r="A32" s="7" t="s">
        <v>15</v>
      </c>
      <c r="B32" t="s">
        <v>42</v>
      </c>
      <c r="C32" s="49" t="n">
        <v>0.84375</v>
      </c>
      <c r="D32" t="n">
        <v>32</v>
      </c>
      <c r="E32" s="49" t="n">
        <v>0.46875</v>
      </c>
      <c r="F32" t="n">
        <v>32</v>
      </c>
      <c r="G32" s="49" t="n">
        <v>0.8</v>
      </c>
      <c r="H32" t="n">
        <v>15</v>
      </c>
      <c r="I32" s="49" t="n">
        <v>0.533333333333333</v>
      </c>
      <c r="J32" t="n">
        <v>15</v>
      </c>
      <c r="K32" s="49" t="n">
        <v>0.882352941176471</v>
      </c>
      <c r="L32" t="n">
        <v>17</v>
      </c>
      <c r="M32" s="49" t="n">
        <v>0.411764705882353</v>
      </c>
      <c r="N32" s="12" t="n">
        <v>17</v>
      </c>
    </row>
    <row r="33" outlineLevel="1" hidden="0">
      <c r="A33" s="7" t="s">
        <v>15</v>
      </c>
      <c r="B33" t="s">
        <v>43</v>
      </c>
      <c r="C33" s="49" t="n">
        <v>0.783783783783784</v>
      </c>
      <c r="D33" t="n">
        <v>37</v>
      </c>
      <c r="E33" s="49" t="n">
        <v>0.378378378378378</v>
      </c>
      <c r="F33" t="n">
        <v>37</v>
      </c>
      <c r="G33" s="49" t="n">
        <v>0.684210526315789</v>
      </c>
      <c r="H33" t="n">
        <v>19</v>
      </c>
      <c r="I33" s="49" t="n">
        <v>0.421052631578947</v>
      </c>
      <c r="J33" t="n">
        <v>19</v>
      </c>
      <c r="K33" s="49" t="n">
        <v>0.888888888888889</v>
      </c>
      <c r="L33" t="n">
        <v>18</v>
      </c>
      <c r="M33" s="49" t="n">
        <v>0.333333333333333</v>
      </c>
      <c r="N33" s="12" t="n">
        <v>18</v>
      </c>
    </row>
    <row r="34" outlineLevel="1" hidden="0">
      <c r="A34" s="7" t="s">
        <v>15</v>
      </c>
      <c r="B34" t="s">
        <v>44</v>
      </c>
      <c r="C34" s="49" t="n">
        <v>0.891304347826087</v>
      </c>
      <c r="D34" t="n">
        <v>46</v>
      </c>
      <c r="E34" s="49" t="n">
        <v>0.456521739130435</v>
      </c>
      <c r="F34" t="n">
        <v>46</v>
      </c>
      <c r="G34" s="49" t="n">
        <v>0.791666666666667</v>
      </c>
      <c r="H34" t="n">
        <v>24</v>
      </c>
      <c r="I34" s="49" t="n">
        <v>0.541666666666667</v>
      </c>
      <c r="J34" t="n">
        <v>24</v>
      </c>
      <c r="K34" s="49" t="n">
        <v>1</v>
      </c>
      <c r="L34" t="n">
        <v>22</v>
      </c>
      <c r="M34" s="49" t="n">
        <v>0.363636363636364</v>
      </c>
      <c r="N34" s="12" t="n">
        <v>22</v>
      </c>
    </row>
    <row r="35" outlineLevel="1" hidden="0">
      <c r="A35" s="7" t="s">
        <v>15</v>
      </c>
      <c r="B35" t="s">
        <v>45</v>
      </c>
      <c r="C35" s="49" t="n">
        <v>0.68</v>
      </c>
      <c r="D35" t="n">
        <v>50</v>
      </c>
      <c r="E35" s="49" t="n">
        <v>0.16</v>
      </c>
      <c r="F35" t="n">
        <v>50</v>
      </c>
      <c r="G35" s="49" t="n">
        <v>0.794117647058823</v>
      </c>
      <c r="H35" t="n">
        <v>34</v>
      </c>
      <c r="I35" s="49" t="n">
        <v>0.176470588235294</v>
      </c>
      <c r="J35" t="n">
        <v>34</v>
      </c>
      <c r="K35" s="49" t="n">
        <v>0.4375</v>
      </c>
      <c r="L35" t="n">
        <v>16</v>
      </c>
      <c r="M35" s="49" t="n">
        <v>0.125</v>
      </c>
      <c r="N35" s="12" t="n">
        <v>16</v>
      </c>
    </row>
    <row r="36" outlineLevel="1" hidden="0">
      <c r="A36" s="7" t="s">
        <v>15</v>
      </c>
      <c r="B36" t="s">
        <v>46</v>
      </c>
      <c r="C36" s="49" t="n">
        <v>0.780487804878049</v>
      </c>
      <c r="D36" t="n">
        <v>41</v>
      </c>
      <c r="E36" s="49" t="n">
        <v>0.365853658536585</v>
      </c>
      <c r="F36" t="n">
        <v>41</v>
      </c>
      <c r="G36" s="49" t="n">
        <v>0.588235294117647</v>
      </c>
      <c r="H36" t="n">
        <v>17</v>
      </c>
      <c r="I36" s="49" t="n">
        <v>0.117647058823529</v>
      </c>
      <c r="J36" t="n">
        <v>17</v>
      </c>
      <c r="K36" s="49" t="n">
        <v>0.916666666666667</v>
      </c>
      <c r="L36" t="n">
        <v>24</v>
      </c>
      <c r="M36" s="49" t="n">
        <v>0.541666666666667</v>
      </c>
      <c r="N36" s="12" t="n">
        <v>24</v>
      </c>
    </row>
    <row r="37" outlineLevel="1" hidden="0">
      <c r="A37" s="7" t="s">
        <v>15</v>
      </c>
      <c r="B37" t="s">
        <v>47</v>
      </c>
      <c r="C37" s="49" t="n">
        <v>0.731707317073171</v>
      </c>
      <c r="D37" t="n">
        <v>41</v>
      </c>
      <c r="E37" s="49" t="n">
        <v>0.24390243902439</v>
      </c>
      <c r="F37" t="n">
        <v>41</v>
      </c>
      <c r="G37" s="49" t="n">
        <v>0.75</v>
      </c>
      <c r="H37" t="n">
        <v>20</v>
      </c>
      <c r="I37" s="49" t="n">
        <v>0.35</v>
      </c>
      <c r="J37" t="n">
        <v>20</v>
      </c>
      <c r="K37" s="49" t="n">
        <v>0.714285714285714</v>
      </c>
      <c r="L37" t="n">
        <v>21</v>
      </c>
      <c r="M37" s="49" t="n">
        <v>0.142857142857143</v>
      </c>
      <c r="N37" s="12" t="n">
        <v>21</v>
      </c>
    </row>
    <row r="38" outlineLevel="1" hidden="0">
      <c r="A38" s="7" t="s">
        <v>15</v>
      </c>
      <c r="B38" t="s">
        <v>48</v>
      </c>
      <c r="C38" s="49" t="n">
        <v>0.792452830188679</v>
      </c>
      <c r="D38" t="n">
        <v>53</v>
      </c>
      <c r="E38" s="49" t="n">
        <v>0.415094339622642</v>
      </c>
      <c r="F38" t="n">
        <v>53</v>
      </c>
      <c r="G38" s="49" t="n">
        <v>0.827586206896552</v>
      </c>
      <c r="H38" t="n">
        <v>29</v>
      </c>
      <c r="I38" s="49" t="n">
        <v>0.517241379310345</v>
      </c>
      <c r="J38" t="n">
        <v>29</v>
      </c>
      <c r="K38" s="49" t="n">
        <v>0.75</v>
      </c>
      <c r="L38" t="n">
        <v>24</v>
      </c>
      <c r="M38" s="49" t="n">
        <v>0.291666666666667</v>
      </c>
      <c r="N38" s="12" t="n">
        <v>24</v>
      </c>
    </row>
    <row r="39" outlineLevel="1" hidden="0">
      <c r="A39" s="7" t="s">
        <v>15</v>
      </c>
      <c r="B39" t="s">
        <v>49</v>
      </c>
      <c r="C39" s="49" t="n">
        <v>0.807692307692308</v>
      </c>
      <c r="D39" t="n">
        <v>52</v>
      </c>
      <c r="E39" s="49" t="n">
        <v>0.384615384615385</v>
      </c>
      <c r="F39" t="n">
        <v>52</v>
      </c>
      <c r="G39" s="49" t="n">
        <v>0.818181818181818</v>
      </c>
      <c r="H39" t="n">
        <v>22</v>
      </c>
      <c r="I39" s="49" t="n">
        <v>0.272727272727273</v>
      </c>
      <c r="J39" t="n">
        <v>22</v>
      </c>
      <c r="K39" s="49" t="n">
        <v>0.8</v>
      </c>
      <c r="L39" t="n">
        <v>30</v>
      </c>
      <c r="M39" s="49" t="n">
        <v>0.466666666666667</v>
      </c>
      <c r="N39" s="12" t="n">
        <v>30</v>
      </c>
    </row>
    <row r="40" outlineLevel="1" hidden="0">
      <c r="A40" s="7" t="s">
        <v>15</v>
      </c>
      <c r="B40" t="s">
        <v>50</v>
      </c>
      <c r="C40" s="49" t="n">
        <v>0.740740740740741</v>
      </c>
      <c r="D40" t="n">
        <v>54</v>
      </c>
      <c r="E40" s="49" t="n">
        <v>0.407407407407407</v>
      </c>
      <c r="F40" t="n">
        <v>54</v>
      </c>
      <c r="G40" s="49" t="n">
        <v>0.771428571428571</v>
      </c>
      <c r="H40" t="n">
        <v>35</v>
      </c>
      <c r="I40" s="49" t="n">
        <v>0.485714285714286</v>
      </c>
      <c r="J40" t="n">
        <v>35</v>
      </c>
      <c r="K40" s="49" t="n">
        <v>0.684210526315789</v>
      </c>
      <c r="L40" t="n">
        <v>19</v>
      </c>
      <c r="M40" s="49" t="n">
        <v>0.263157894736842</v>
      </c>
      <c r="N40" s="12" t="n">
        <v>19</v>
      </c>
    </row>
    <row r="41" outlineLevel="1" hidden="0">
      <c r="A41" s="7" t="s">
        <v>15</v>
      </c>
      <c r="B41" t="s">
        <v>51</v>
      </c>
      <c r="C41" s="49" t="n">
        <v>0.807692307692308</v>
      </c>
      <c r="D41" t="n">
        <v>26</v>
      </c>
      <c r="E41" s="49" t="n">
        <v>0.346153846153846</v>
      </c>
      <c r="F41" t="n">
        <v>26</v>
      </c>
      <c r="G41" s="49" t="n">
        <v>0.857142857142857</v>
      </c>
      <c r="H41" t="n">
        <v>14</v>
      </c>
      <c r="I41" s="49" t="n">
        <v>0.5</v>
      </c>
      <c r="J41" t="n">
        <v>14</v>
      </c>
      <c r="K41" s="49" t="n">
        <v>0.75</v>
      </c>
      <c r="L41" t="n">
        <v>12</v>
      </c>
      <c r="M41" s="49" t="n">
        <v>0.166666666666667</v>
      </c>
      <c r="N41" s="12" t="n">
        <v>12</v>
      </c>
    </row>
    <row r="42" outlineLevel="1" hidden="0">
      <c r="A42" s="7" t="s">
        <v>15</v>
      </c>
      <c r="B42" t="s">
        <v>52</v>
      </c>
      <c r="C42" s="49" t="n">
        <v>0.753846153846154</v>
      </c>
      <c r="D42" t="n">
        <v>195</v>
      </c>
      <c r="E42" s="49" t="n">
        <v>0.435897435897436</v>
      </c>
      <c r="F42" t="n">
        <v>195</v>
      </c>
      <c r="G42" s="49" t="n">
        <v>0.763636363636364</v>
      </c>
      <c r="H42" t="n">
        <v>110</v>
      </c>
      <c r="I42" s="49" t="n">
        <v>0.472727272727273</v>
      </c>
      <c r="J42" t="n">
        <v>110</v>
      </c>
      <c r="K42" s="49" t="n">
        <v>0.741176470588235</v>
      </c>
      <c r="L42" t="n">
        <v>85</v>
      </c>
      <c r="M42" s="49" t="n">
        <v>0.388235294117647</v>
      </c>
      <c r="N42" s="12" t="n">
        <v>85</v>
      </c>
    </row>
    <row r="43" outlineLevel="1" hidden="0">
      <c r="A43" s="7" t="s">
        <v>15</v>
      </c>
      <c r="B43" t="s">
        <v>53</v>
      </c>
      <c r="C43" s="49" t="n">
        <v>0.711538461538462</v>
      </c>
      <c r="D43" t="n">
        <v>52</v>
      </c>
      <c r="E43" s="49" t="n">
        <v>0.134615384615385</v>
      </c>
      <c r="F43" t="n">
        <v>52</v>
      </c>
      <c r="G43" s="49" t="n">
        <v>0.65</v>
      </c>
      <c r="H43" t="n">
        <v>20</v>
      </c>
      <c r="I43" s="49" t="n">
        <v>0.2</v>
      </c>
      <c r="J43" t="n">
        <v>20</v>
      </c>
      <c r="K43" s="49" t="n">
        <v>0.75</v>
      </c>
      <c r="L43" t="n">
        <v>32</v>
      </c>
      <c r="M43" s="49" t="n">
        <v>0.09375</v>
      </c>
      <c r="N43" s="12" t="n">
        <v>32</v>
      </c>
    </row>
    <row r="44" outlineLevel="1" hidden="0">
      <c r="A44" s="7" t="s">
        <v>15</v>
      </c>
      <c r="B44" t="s">
        <v>54</v>
      </c>
      <c r="C44" s="49" t="n">
        <v>0.885714285714286</v>
      </c>
      <c r="D44" t="n">
        <v>35</v>
      </c>
      <c r="E44" s="49" t="n">
        <v>0.514285714285714</v>
      </c>
      <c r="F44" t="n">
        <v>35</v>
      </c>
      <c r="G44" s="49" t="n">
        <v>0.894736842105263</v>
      </c>
      <c r="H44" t="n">
        <v>19</v>
      </c>
      <c r="I44" s="49" t="n">
        <v>0.578947368421053</v>
      </c>
      <c r="J44" t="n">
        <v>19</v>
      </c>
      <c r="K44" s="49" t="n">
        <v>0.875</v>
      </c>
      <c r="L44" t="n">
        <v>16</v>
      </c>
      <c r="M44" s="49" t="n">
        <v>0.4375</v>
      </c>
      <c r="N44" s="12" t="n">
        <v>16</v>
      </c>
    </row>
    <row r="45" outlineLevel="1" hidden="0">
      <c r="A45" s="7" t="s">
        <v>15</v>
      </c>
      <c r="B45" t="s">
        <v>55</v>
      </c>
      <c r="C45" s="49" t="n">
        <v>0.676470588235294</v>
      </c>
      <c r="D45" t="n">
        <v>34</v>
      </c>
      <c r="E45" s="49" t="n">
        <v>0.235294117647059</v>
      </c>
      <c r="F45" t="n">
        <v>34</v>
      </c>
      <c r="G45" s="49" t="n">
        <v>0.8</v>
      </c>
      <c r="H45" t="n">
        <v>15</v>
      </c>
      <c r="I45" s="49" t="n">
        <v>0.4</v>
      </c>
      <c r="J45" t="n">
        <v>15</v>
      </c>
      <c r="K45" s="49" t="n">
        <v>0.578947368421053</v>
      </c>
      <c r="L45" t="n">
        <v>19</v>
      </c>
      <c r="M45" s="49" t="n">
        <v>0.105263157894737</v>
      </c>
      <c r="N45" s="12" t="n">
        <v>19</v>
      </c>
    </row>
    <row r="46" outlineLevel="1" hidden="0">
      <c r="A46" s="8" t="s">
        <v>15</v>
      </c>
      <c r="B46" s="10" t="s">
        <v>56</v>
      </c>
      <c r="C46" s="48" t="n">
        <v>0.673913043478261</v>
      </c>
      <c r="D46" s="10" t="n">
        <v>46</v>
      </c>
      <c r="E46" s="48" t="n">
        <v>0.347826086956522</v>
      </c>
      <c r="F46" s="10" t="n">
        <v>46</v>
      </c>
      <c r="G46" s="48" t="n">
        <v>0.692307692307692</v>
      </c>
      <c r="H46" s="10" t="n">
        <v>26</v>
      </c>
      <c r="I46" s="48" t="n">
        <v>0.423076923076923</v>
      </c>
      <c r="J46" s="10" t="n">
        <v>26</v>
      </c>
      <c r="K46" s="48" t="n">
        <v>0.65</v>
      </c>
      <c r="L46" s="10" t="n">
        <v>20</v>
      </c>
      <c r="M46" s="48" t="n">
        <v>0.25</v>
      </c>
      <c r="N46" s="13" t="n">
        <v>20</v>
      </c>
    </row>
    <row r="47">
      <c r="C47" s="49"/>
      <c r="E47" s="49"/>
      <c r="G47" s="49"/>
      <c r="I47" s="49"/>
      <c r="K47" s="49"/>
      <c r="M47" s="49"/>
    </row>
    <row r="48">
      <c r="A48" s="2" t="s">
        <v>57</v>
      </c>
      <c r="B48" s="2"/>
      <c r="C48" s="45"/>
      <c r="D48" s="2"/>
      <c r="E48" s="45"/>
      <c r="F48" s="2"/>
      <c r="G48" s="45"/>
      <c r="H48" s="2"/>
      <c r="I48" s="45"/>
      <c r="J48" s="2"/>
      <c r="K48" s="45"/>
      <c r="L48" s="2"/>
      <c r="M48" s="45"/>
      <c r="N48" s="2"/>
    </row>
    <row r="49" outlineLevel="1" hidden="0">
      <c r="A49" s="6" t="s">
        <v>15</v>
      </c>
      <c r="B49" s="9" t="s">
        <v>58</v>
      </c>
      <c r="C49" s="47" t="n">
        <v>1</v>
      </c>
      <c r="D49" s="9" t="n">
        <v>2</v>
      </c>
      <c r="E49" s="47"/>
      <c r="F49" s="9"/>
      <c r="G49" s="47" t="n">
        <v>1</v>
      </c>
      <c r="H49" s="9" t="n">
        <v>1</v>
      </c>
      <c r="I49" s="47"/>
      <c r="J49" s="9"/>
      <c r="K49" s="47" t="n">
        <v>1</v>
      </c>
      <c r="L49" s="9" t="n">
        <v>1</v>
      </c>
      <c r="M49" s="47"/>
      <c r="N49" s="11"/>
    </row>
    <row r="50" outlineLevel="1" hidden="0">
      <c r="A50" s="7" t="s">
        <v>15</v>
      </c>
      <c r="B50" t="s">
        <v>59</v>
      </c>
      <c r="C50" s="49" t="n">
        <v>0.778779049482929</v>
      </c>
      <c r="D50" t="n">
        <v>143</v>
      </c>
      <c r="E50" s="49" t="n">
        <v>0.322227843328295</v>
      </c>
      <c r="F50" t="n">
        <v>143</v>
      </c>
      <c r="G50" s="49" t="n">
        <v>0.809671286848279</v>
      </c>
      <c r="H50" t="n">
        <v>77</v>
      </c>
      <c r="I50" s="49" t="n">
        <v>0.442357251792528</v>
      </c>
      <c r="J50" t="n">
        <v>77</v>
      </c>
      <c r="K50" s="49" t="n">
        <v>0.745951919021481</v>
      </c>
      <c r="L50" t="n">
        <v>66</v>
      </c>
      <c r="M50" s="49" t="n">
        <v>0.194574293432448</v>
      </c>
      <c r="N50" s="12" t="n">
        <v>66</v>
      </c>
    </row>
    <row r="51" outlineLevel="1" hidden="0">
      <c r="A51" s="7" t="s">
        <v>15</v>
      </c>
      <c r="B51" t="s">
        <v>61</v>
      </c>
      <c r="C51" s="49" t="n">
        <v>0.527774474885556</v>
      </c>
      <c r="D51" t="n">
        <v>6</v>
      </c>
      <c r="E51" s="49" t="n">
        <v>0.0248971615043904</v>
      </c>
      <c r="F51" t="n">
        <v>6</v>
      </c>
      <c r="G51" s="49" t="n">
        <v>0.439232318035903</v>
      </c>
      <c r="H51" t="n">
        <v>5</v>
      </c>
      <c r="I51" s="49" t="n">
        <v>0.0295653724794295</v>
      </c>
      <c r="J51" t="n">
        <v>5</v>
      </c>
      <c r="K51" s="49" t="n">
        <v>1</v>
      </c>
      <c r="L51" t="n">
        <v>1</v>
      </c>
      <c r="M51" s="49"/>
      <c r="N51" s="12"/>
    </row>
    <row r="52" outlineLevel="1" hidden="0">
      <c r="A52" s="7" t="s">
        <v>15</v>
      </c>
      <c r="B52" t="s">
        <v>63</v>
      </c>
      <c r="C52" s="49" t="n">
        <v>0.794833940539566</v>
      </c>
      <c r="D52" t="n">
        <v>17</v>
      </c>
      <c r="E52" s="49" t="n">
        <v>0.422305969634908</v>
      </c>
      <c r="F52" t="n">
        <v>17</v>
      </c>
      <c r="G52" s="49" t="n">
        <v>0.88635696679024</v>
      </c>
      <c r="H52" t="n">
        <v>8</v>
      </c>
      <c r="I52" s="49" t="n">
        <v>0.384367076292955</v>
      </c>
      <c r="J52" t="n">
        <v>8</v>
      </c>
      <c r="K52" s="49" t="n">
        <v>0.711143911077018</v>
      </c>
      <c r="L52" t="n">
        <v>9</v>
      </c>
      <c r="M52" s="49" t="n">
        <v>0.456997863376141</v>
      </c>
      <c r="N52" s="12" t="n">
        <v>9</v>
      </c>
    </row>
    <row r="53" outlineLevel="1" hidden="0">
      <c r="A53" s="7" t="s">
        <v>15</v>
      </c>
      <c r="B53" t="s">
        <v>67</v>
      </c>
      <c r="C53" s="49" t="n">
        <v>0.545454374032779</v>
      </c>
      <c r="D53" t="n">
        <v>25</v>
      </c>
      <c r="E53" s="49" t="n">
        <v>0.106318262522501</v>
      </c>
      <c r="F53" t="n">
        <v>25</v>
      </c>
      <c r="G53" s="49" t="n">
        <v>0.611694096209513</v>
      </c>
      <c r="H53" t="n">
        <v>11</v>
      </c>
      <c r="I53" s="49" t="n">
        <v>0.260093295527779</v>
      </c>
      <c r="J53" t="n">
        <v>11</v>
      </c>
      <c r="K53" s="49" t="n">
        <v>0.502559351013641</v>
      </c>
      <c r="L53" t="n">
        <v>14</v>
      </c>
      <c r="M53" s="49" t="n">
        <v>0.00673777873165873</v>
      </c>
      <c r="N53" s="12" t="n">
        <v>14</v>
      </c>
    </row>
    <row r="54" outlineLevel="1" hidden="0">
      <c r="A54" s="7" t="s">
        <v>15</v>
      </c>
      <c r="B54" t="s">
        <v>71</v>
      </c>
      <c r="C54" s="49" t="n">
        <v>1</v>
      </c>
      <c r="D54" t="n">
        <v>2</v>
      </c>
      <c r="E54" s="49"/>
      <c r="F54"/>
      <c r="G54" s="49" t="n">
        <v>1</v>
      </c>
      <c r="H54" t="n">
        <v>1</v>
      </c>
      <c r="I54" s="49"/>
      <c r="J54"/>
      <c r="K54" s="49" t="n">
        <v>1</v>
      </c>
      <c r="L54" t="n">
        <v>1</v>
      </c>
      <c r="M54" s="49"/>
      <c r="N54" s="12"/>
    </row>
    <row r="55" outlineLevel="1" hidden="0">
      <c r="A55" s="7" t="s">
        <v>15</v>
      </c>
      <c r="B55" t="s">
        <v>72</v>
      </c>
      <c r="C55" s="49" t="n">
        <v>1</v>
      </c>
      <c r="D55" t="n">
        <v>7</v>
      </c>
      <c r="E55" s="49" t="n">
        <v>0.360270515613755</v>
      </c>
      <c r="F55" t="n">
        <v>7</v>
      </c>
      <c r="G55" s="49" t="n">
        <v>1</v>
      </c>
      <c r="H55" t="n">
        <v>4</v>
      </c>
      <c r="I55" s="49" t="n">
        <v>0.385115403307547</v>
      </c>
      <c r="J55" t="n">
        <v>4</v>
      </c>
      <c r="K55" s="49" t="n">
        <v>1</v>
      </c>
      <c r="L55" t="n">
        <v>3</v>
      </c>
      <c r="M55" s="49" t="n">
        <v>0.333333333333333</v>
      </c>
      <c r="N55" s="12" t="n">
        <v>3</v>
      </c>
    </row>
    <row r="56" outlineLevel="1" hidden="0">
      <c r="A56" s="7" t="s">
        <v>15</v>
      </c>
      <c r="B56" t="s">
        <v>73</v>
      </c>
      <c r="C56" s="49" t="n">
        <v>0.5</v>
      </c>
      <c r="D56" t="n">
        <v>4</v>
      </c>
      <c r="E56" s="49" t="n">
        <v>0.5</v>
      </c>
      <c r="F56" t="n">
        <v>4</v>
      </c>
      <c r="G56" s="49" t="n">
        <v>0.5</v>
      </c>
      <c r="H56" t="n">
        <v>2</v>
      </c>
      <c r="I56" s="49" t="n">
        <v>0.5</v>
      </c>
      <c r="J56" t="n">
        <v>2</v>
      </c>
      <c r="K56" s="49" t="n">
        <v>0.5</v>
      </c>
      <c r="L56" t="n">
        <v>2</v>
      </c>
      <c r="M56" s="49" t="n">
        <v>0.5</v>
      </c>
      <c r="N56" s="12" t="n">
        <v>2</v>
      </c>
    </row>
    <row r="57" outlineLevel="1" hidden="0">
      <c r="A57" s="7" t="s">
        <v>15</v>
      </c>
      <c r="B57" t="s">
        <v>75</v>
      </c>
      <c r="C57" s="49" t="n">
        <v>1</v>
      </c>
      <c r="D57" t="n">
        <v>2</v>
      </c>
      <c r="E57" s="49" t="n">
        <v>0.79831213113205</v>
      </c>
      <c r="F57" t="n">
        <v>2</v>
      </c>
      <c r="G57" s="49" t="n">
        <v>1</v>
      </c>
      <c r="H57" t="n">
        <v>1</v>
      </c>
      <c r="I57" s="49"/>
      <c r="J57"/>
      <c r="K57" s="49" t="n">
        <v>1</v>
      </c>
      <c r="L57" t="n">
        <v>1</v>
      </c>
      <c r="M57" s="49" t="n">
        <v>1</v>
      </c>
      <c r="N57" s="12" t="n">
        <v>1</v>
      </c>
    </row>
    <row r="58" outlineLevel="1" hidden="0">
      <c r="A58" s="7" t="s">
        <v>15</v>
      </c>
      <c r="B58" t="s">
        <v>78</v>
      </c>
      <c r="C58" s="49" t="n">
        <v>0.40311145059461</v>
      </c>
      <c r="D58" t="n">
        <v>11</v>
      </c>
      <c r="E58" s="49" t="n">
        <v>0.0991248514879934</v>
      </c>
      <c r="F58" t="n">
        <v>11</v>
      </c>
      <c r="G58" s="49" t="n">
        <v>0.956670098522064</v>
      </c>
      <c r="H58" t="n">
        <v>6</v>
      </c>
      <c r="I58" s="49" t="n">
        <v>0.222048429825519</v>
      </c>
      <c r="J58" t="n">
        <v>6</v>
      </c>
      <c r="K58" s="49" t="n">
        <v>0.0730647121647758</v>
      </c>
      <c r="L58" t="n">
        <v>5</v>
      </c>
      <c r="M58" s="49" t="n">
        <v>0.0258344670665373</v>
      </c>
      <c r="N58" s="12" t="n">
        <v>5</v>
      </c>
    </row>
    <row r="59" outlineLevel="1" hidden="0">
      <c r="A59" s="7" t="s">
        <v>15</v>
      </c>
      <c r="B59" t="s">
        <v>81</v>
      </c>
      <c r="C59" s="49" t="n">
        <v>0.540286533506139</v>
      </c>
      <c r="D59" t="n">
        <v>3</v>
      </c>
      <c r="E59" s="49" t="n">
        <v>0.459713466493861</v>
      </c>
      <c r="F59" t="n">
        <v>3</v>
      </c>
      <c r="G59" s="49" t="n">
        <v>0.540286533506139</v>
      </c>
      <c r="H59" t="n">
        <v>3</v>
      </c>
      <c r="I59" s="49" t="n">
        <v>0.459713466493861</v>
      </c>
      <c r="J59" t="n">
        <v>3</v>
      </c>
      <c r="K59" s="49"/>
      <c r="L59"/>
      <c r="M59" s="49"/>
      <c r="N59" s="12"/>
    </row>
    <row r="60" outlineLevel="1" hidden="0">
      <c r="A60" s="7" t="s">
        <v>15</v>
      </c>
      <c r="B60" t="s">
        <v>82</v>
      </c>
      <c r="C60" s="49" t="n">
        <v>0.792251322756514</v>
      </c>
      <c r="D60" t="n">
        <v>7</v>
      </c>
      <c r="E60" s="49" t="n">
        <v>0.384881758058818</v>
      </c>
      <c r="F60" t="n">
        <v>7</v>
      </c>
      <c r="G60" s="49" t="n">
        <v>1</v>
      </c>
      <c r="H60" t="n">
        <v>6</v>
      </c>
      <c r="I60" s="49" t="n">
        <v>0.485807655984319</v>
      </c>
      <c r="J60" t="n">
        <v>6</v>
      </c>
      <c r="K60" s="49"/>
      <c r="L60"/>
      <c r="M60" s="49"/>
      <c r="N60" s="12"/>
    </row>
    <row r="61" outlineLevel="1" hidden="0">
      <c r="A61" s="7" t="s">
        <v>15</v>
      </c>
      <c r="B61" t="s">
        <v>86</v>
      </c>
      <c r="C61" s="49" t="n">
        <v>0.53477672212421</v>
      </c>
      <c r="D61" t="n">
        <v>27</v>
      </c>
      <c r="E61" s="49" t="n">
        <v>0.262353102672127</v>
      </c>
      <c r="F61" t="n">
        <v>27</v>
      </c>
      <c r="G61" s="49" t="n">
        <v>0.828164828357401</v>
      </c>
      <c r="H61" t="n">
        <v>9</v>
      </c>
      <c r="I61" s="49" t="n">
        <v>0.29833212933809</v>
      </c>
      <c r="J61" t="n">
        <v>9</v>
      </c>
      <c r="K61" s="49" t="n">
        <v>0.379992864346341</v>
      </c>
      <c r="L61" t="n">
        <v>18</v>
      </c>
      <c r="M61" s="49" t="n">
        <v>0.243371513343402</v>
      </c>
      <c r="N61" s="12" t="n">
        <v>18</v>
      </c>
    </row>
    <row r="62" outlineLevel="1" hidden="0">
      <c r="A62" s="7" t="s">
        <v>15</v>
      </c>
      <c r="B62" t="s">
        <v>87</v>
      </c>
      <c r="C62" s="49" t="n">
        <v>0.481124377905198</v>
      </c>
      <c r="D62" t="n">
        <v>9</v>
      </c>
      <c r="E62" s="49" t="n">
        <v>0.196112755115873</v>
      </c>
      <c r="F62" t="n">
        <v>9</v>
      </c>
      <c r="G62" s="49" t="n">
        <v>0.570494979971318</v>
      </c>
      <c r="H62" t="n">
        <v>6</v>
      </c>
      <c r="I62" s="49" t="n">
        <v>0.251775244812641</v>
      </c>
      <c r="J62" t="n">
        <v>6</v>
      </c>
      <c r="K62" s="49" t="n">
        <v>0.166249583532338</v>
      </c>
      <c r="L62" t="n">
        <v>3</v>
      </c>
      <c r="M62" s="49"/>
      <c r="N62" s="12"/>
    </row>
    <row r="63" outlineLevel="1" hidden="0">
      <c r="A63" s="7" t="s">
        <v>15</v>
      </c>
      <c r="B63" t="s">
        <v>89</v>
      </c>
      <c r="C63" s="49" t="n">
        <v>0.726706854970658</v>
      </c>
      <c r="D63" t="n">
        <v>242</v>
      </c>
      <c r="E63" s="49" t="n">
        <v>0.353715200238221</v>
      </c>
      <c r="F63" t="n">
        <v>242</v>
      </c>
      <c r="G63" s="49" t="n">
        <v>0.732805518810454</v>
      </c>
      <c r="H63" t="n">
        <v>127</v>
      </c>
      <c r="I63" s="49" t="n">
        <v>0.37696922628884</v>
      </c>
      <c r="J63" t="n">
        <v>127</v>
      </c>
      <c r="K63" s="49" t="n">
        <v>0.720179899797964</v>
      </c>
      <c r="L63" t="n">
        <v>115</v>
      </c>
      <c r="M63" s="49" t="n">
        <v>0.328828111917884</v>
      </c>
      <c r="N63" s="12" t="n">
        <v>115</v>
      </c>
    </row>
    <row r="64" outlineLevel="1" hidden="0">
      <c r="A64" s="7" t="s">
        <v>15</v>
      </c>
      <c r="B64" t="s">
        <v>90</v>
      </c>
      <c r="C64" s="49" t="n">
        <v>0.9023797181634</v>
      </c>
      <c r="D64" t="n">
        <v>10</v>
      </c>
      <c r="E64" s="49" t="n">
        <v>0.501517780798641</v>
      </c>
      <c r="F64" t="n">
        <v>10</v>
      </c>
      <c r="G64" s="49" t="n">
        <v>1</v>
      </c>
      <c r="H64" t="n">
        <v>8</v>
      </c>
      <c r="I64" s="49" t="n">
        <v>0.590180717790697</v>
      </c>
      <c r="J64" t="n">
        <v>8</v>
      </c>
      <c r="K64" s="49" t="n">
        <v>0.350195132714621</v>
      </c>
      <c r="L64" t="n">
        <v>2</v>
      </c>
      <c r="M64" s="49"/>
      <c r="N64" s="12"/>
    </row>
    <row r="65" outlineLevel="1" hidden="0">
      <c r="A65" s="7" t="s">
        <v>15</v>
      </c>
      <c r="B65" t="s">
        <v>91</v>
      </c>
      <c r="C65" s="49" t="n">
        <v>0.5</v>
      </c>
      <c r="D65" t="n">
        <v>2</v>
      </c>
      <c r="E65" s="49"/>
      <c r="F65"/>
      <c r="G65" s="49" t="n">
        <v>0.5</v>
      </c>
      <c r="H65" t="n">
        <v>2</v>
      </c>
      <c r="I65" s="49"/>
      <c r="J65"/>
      <c r="K65" s="49"/>
      <c r="L65"/>
      <c r="M65" s="49"/>
      <c r="N65" s="12"/>
    </row>
    <row r="66" outlineLevel="1" hidden="0">
      <c r="A66" s="7" t="s">
        <v>15</v>
      </c>
      <c r="B66" t="s">
        <v>95</v>
      </c>
      <c r="C66" s="49" t="n">
        <v>0.5</v>
      </c>
      <c r="D66" t="n">
        <v>2</v>
      </c>
      <c r="E66" s="49" t="n">
        <v>0.5</v>
      </c>
      <c r="F66" t="n">
        <v>2</v>
      </c>
      <c r="G66" s="49" t="n">
        <v>1</v>
      </c>
      <c r="H66" t="n">
        <v>1</v>
      </c>
      <c r="I66" s="49" t="n">
        <v>1</v>
      </c>
      <c r="J66" t="n">
        <v>1</v>
      </c>
      <c r="K66" s="49"/>
      <c r="L66"/>
      <c r="M66" s="49"/>
      <c r="N66" s="12"/>
    </row>
    <row r="67" outlineLevel="1" hidden="0">
      <c r="A67" s="7" t="s">
        <v>15</v>
      </c>
      <c r="B67" t="s">
        <v>96</v>
      </c>
      <c r="C67" s="49" t="n">
        <v>0.794328633761681</v>
      </c>
      <c r="D67" t="n">
        <v>28</v>
      </c>
      <c r="E67" s="49" t="n">
        <v>0.350188791239733</v>
      </c>
      <c r="F67" t="n">
        <v>28</v>
      </c>
      <c r="G67" s="49" t="n">
        <v>0.779309689675674</v>
      </c>
      <c r="H67" t="n">
        <v>15</v>
      </c>
      <c r="I67" s="49" t="n">
        <v>0.342859361566803</v>
      </c>
      <c r="J67" t="n">
        <v>15</v>
      </c>
      <c r="K67" s="49" t="n">
        <v>0.8112575231087</v>
      </c>
      <c r="L67" t="n">
        <v>13</v>
      </c>
      <c r="M67" s="49" t="n">
        <v>0.358450297721097</v>
      </c>
      <c r="N67" s="12" t="n">
        <v>13</v>
      </c>
    </row>
    <row r="68" outlineLevel="1" hidden="0">
      <c r="A68" s="7" t="s">
        <v>15</v>
      </c>
      <c r="B68" t="s">
        <v>104</v>
      </c>
      <c r="C68" s="49" t="n">
        <v>0.71227359374722</v>
      </c>
      <c r="D68" t="n">
        <v>4</v>
      </c>
      <c r="E68" s="49" t="n">
        <v>0.71227359374722</v>
      </c>
      <c r="F68" t="n">
        <v>4</v>
      </c>
      <c r="G68" s="49" t="n">
        <v>1</v>
      </c>
      <c r="H68" t="n">
        <v>1</v>
      </c>
      <c r="I68" s="49" t="n">
        <v>1</v>
      </c>
      <c r="J68" t="n">
        <v>1</v>
      </c>
      <c r="K68" s="49" t="n">
        <v>0.679835453169911</v>
      </c>
      <c r="L68" t="n">
        <v>3</v>
      </c>
      <c r="M68" s="49" t="n">
        <v>0.679835453169911</v>
      </c>
      <c r="N68" s="12" t="n">
        <v>3</v>
      </c>
    </row>
    <row r="69" outlineLevel="1" hidden="0">
      <c r="A69" s="7" t="s">
        <v>15</v>
      </c>
      <c r="B69" t="s">
        <v>106</v>
      </c>
      <c r="C69" s="49" t="n">
        <v>0.64704909460044</v>
      </c>
      <c r="D69" t="n">
        <v>16</v>
      </c>
      <c r="E69" s="49" t="n">
        <v>0.287761356165484</v>
      </c>
      <c r="F69" t="n">
        <v>16</v>
      </c>
      <c r="G69" s="49" t="n">
        <v>0.581270938793949</v>
      </c>
      <c r="H69" t="n">
        <v>10</v>
      </c>
      <c r="I69" s="49" t="n">
        <v>0.309211709582607</v>
      </c>
      <c r="J69" t="n">
        <v>10</v>
      </c>
      <c r="K69" s="49" t="n">
        <v>0.743784057656096</v>
      </c>
      <c r="L69" t="n">
        <v>6</v>
      </c>
      <c r="M69" s="49" t="n">
        <v>0.256215942343904</v>
      </c>
      <c r="N69" s="12" t="n">
        <v>6</v>
      </c>
    </row>
    <row r="70" outlineLevel="1" hidden="0">
      <c r="A70" s="7" t="s">
        <v>15</v>
      </c>
      <c r="B70" t="s">
        <v>109</v>
      </c>
      <c r="C70" s="49" t="n">
        <v>0.738608451588503</v>
      </c>
      <c r="D70" t="n">
        <v>152</v>
      </c>
      <c r="E70" s="49" t="n">
        <v>0.253895151329626</v>
      </c>
      <c r="F70" t="n">
        <v>152</v>
      </c>
      <c r="G70" s="49" t="n">
        <v>0.71525052725648</v>
      </c>
      <c r="H70" t="n">
        <v>66</v>
      </c>
      <c r="I70" s="49" t="n">
        <v>0.268327797945689</v>
      </c>
      <c r="J70" t="n">
        <v>66</v>
      </c>
      <c r="K70" s="49" t="n">
        <v>0.760272507752573</v>
      </c>
      <c r="L70" t="n">
        <v>86</v>
      </c>
      <c r="M70" s="49" t="n">
        <v>0.240509130275611</v>
      </c>
      <c r="N70" s="12" t="n">
        <v>86</v>
      </c>
    </row>
    <row r="71" outlineLevel="1" hidden="0">
      <c r="A71" s="7" t="s">
        <v>15</v>
      </c>
      <c r="B71" t="s">
        <v>110</v>
      </c>
      <c r="C71" s="49" t="n">
        <v>0.945367035975837</v>
      </c>
      <c r="D71" t="n">
        <v>12</v>
      </c>
      <c r="E71" s="49" t="n">
        <v>0.215154955627494</v>
      </c>
      <c r="F71" t="n">
        <v>12</v>
      </c>
      <c r="G71" s="49" t="n">
        <v>0.931018930110417</v>
      </c>
      <c r="H71" t="n">
        <v>7</v>
      </c>
      <c r="I71" s="49" t="n">
        <v>0.157872476741305</v>
      </c>
      <c r="J71" t="n">
        <v>7</v>
      </c>
      <c r="K71" s="49" t="n">
        <v>1</v>
      </c>
      <c r="L71" t="n">
        <v>5</v>
      </c>
      <c r="M71" s="49" t="n">
        <v>0.433268178205968</v>
      </c>
      <c r="N71" s="12" t="n">
        <v>5</v>
      </c>
    </row>
    <row r="72" outlineLevel="1" hidden="0">
      <c r="A72" s="7" t="s">
        <v>15</v>
      </c>
      <c r="B72" t="s">
        <v>113</v>
      </c>
      <c r="C72" s="49" t="n">
        <v>1</v>
      </c>
      <c r="D72" t="n">
        <v>1</v>
      </c>
      <c r="E72" s="49"/>
      <c r="F72"/>
      <c r="G72" s="49"/>
      <c r="H72"/>
      <c r="I72" s="49"/>
      <c r="J72"/>
      <c r="K72" s="49" t="n">
        <v>1</v>
      </c>
      <c r="L72" t="n">
        <v>1</v>
      </c>
      <c r="M72" s="49"/>
      <c r="N72" s="12"/>
    </row>
    <row r="73" outlineLevel="1" hidden="0">
      <c r="A73" s="7" t="s">
        <v>15</v>
      </c>
      <c r="B73" t="s">
        <v>114</v>
      </c>
      <c r="C73" s="49" t="n">
        <v>0.943648969224192</v>
      </c>
      <c r="D73" t="n">
        <v>22</v>
      </c>
      <c r="E73" s="49" t="n">
        <v>0.720077021033345</v>
      </c>
      <c r="F73" t="n">
        <v>22</v>
      </c>
      <c r="G73" s="49" t="n">
        <v>0.92323100587325</v>
      </c>
      <c r="H73" t="n">
        <v>15</v>
      </c>
      <c r="I73" s="49" t="n">
        <v>0.657345203729099</v>
      </c>
      <c r="J73" t="n">
        <v>15</v>
      </c>
      <c r="K73" s="49" t="n">
        <v>1</v>
      </c>
      <c r="L73" t="n">
        <v>7</v>
      </c>
      <c r="M73" s="49" t="n">
        <v>0.893209008135814</v>
      </c>
      <c r="N73" s="12" t="n">
        <v>7</v>
      </c>
    </row>
    <row r="74" outlineLevel="1" hidden="0">
      <c r="A74" s="7" t="s">
        <v>15</v>
      </c>
      <c r="B74" t="s">
        <v>116</v>
      </c>
      <c r="C74" s="49" t="n">
        <v>0.732096622436043</v>
      </c>
      <c r="D74" t="n">
        <v>6</v>
      </c>
      <c r="E74" s="49" t="n">
        <v>0.586802269701052</v>
      </c>
      <c r="F74" t="n">
        <v>6</v>
      </c>
      <c r="G74" s="49" t="n">
        <v>1</v>
      </c>
      <c r="H74" t="n">
        <v>2</v>
      </c>
      <c r="I74" s="49" t="n">
        <v>0.434268206810121</v>
      </c>
      <c r="J74" t="n">
        <v>2</v>
      </c>
      <c r="K74" s="49" t="n">
        <v>0.639514839527844</v>
      </c>
      <c r="L74" t="n">
        <v>4</v>
      </c>
      <c r="M74" s="49" t="n">
        <v>0.639514839527844</v>
      </c>
      <c r="N74" s="12" t="n">
        <v>4</v>
      </c>
    </row>
    <row r="75" outlineLevel="1" hidden="0">
      <c r="A75" s="7" t="s">
        <v>15</v>
      </c>
      <c r="B75" t="s">
        <v>119</v>
      </c>
      <c r="C75" s="49" t="n">
        <v>0.876738320812144</v>
      </c>
      <c r="D75" t="n">
        <v>17</v>
      </c>
      <c r="E75" s="49" t="n">
        <v>0.304988503920283</v>
      </c>
      <c r="F75" t="n">
        <v>17</v>
      </c>
      <c r="G75" s="49" t="n">
        <v>1</v>
      </c>
      <c r="H75" t="n">
        <v>6</v>
      </c>
      <c r="I75" s="49" t="n">
        <v>0.596795932258412</v>
      </c>
      <c r="J75" t="n">
        <v>6</v>
      </c>
      <c r="K75" s="49" t="n">
        <v>0.821734638421836</v>
      </c>
      <c r="L75" t="n">
        <v>11</v>
      </c>
      <c r="M75" s="49" t="n">
        <v>0.174773799616431</v>
      </c>
      <c r="N75" s="12" t="n">
        <v>11</v>
      </c>
    </row>
    <row r="76" outlineLevel="1" hidden="0">
      <c r="A76" s="7" t="s">
        <v>15</v>
      </c>
      <c r="B76" t="s">
        <v>121</v>
      </c>
      <c r="C76" s="49" t="n">
        <v>0.532988482324013</v>
      </c>
      <c r="D76" t="n">
        <v>12</v>
      </c>
      <c r="E76" s="49" t="n">
        <v>0.288203963494781</v>
      </c>
      <c r="F76" t="n">
        <v>12</v>
      </c>
      <c r="G76" s="49" t="n">
        <v>0.413639981733341</v>
      </c>
      <c r="H76" t="n">
        <v>7</v>
      </c>
      <c r="I76" s="49" t="n">
        <v>0.376349953187596</v>
      </c>
      <c r="J76" t="n">
        <v>7</v>
      </c>
      <c r="K76" s="49" t="n">
        <v>0.72074320243967</v>
      </c>
      <c r="L76" t="n">
        <v>5</v>
      </c>
      <c r="M76" s="49" t="n">
        <v>0.149535898607625</v>
      </c>
      <c r="N76" s="12" t="n">
        <v>5</v>
      </c>
    </row>
    <row r="77" outlineLevel="1" hidden="0">
      <c r="A77" s="7" t="s">
        <v>15</v>
      </c>
      <c r="B77" t="s">
        <v>122</v>
      </c>
      <c r="C77" s="49" t="n">
        <v>0.626520886270885</v>
      </c>
      <c r="D77" t="n">
        <v>27</v>
      </c>
      <c r="E77" s="49" t="n">
        <v>0.233935671658221</v>
      </c>
      <c r="F77" t="n">
        <v>27</v>
      </c>
      <c r="G77" s="49" t="n">
        <v>0.643076912493632</v>
      </c>
      <c r="H77" t="n">
        <v>11</v>
      </c>
      <c r="I77" s="49" t="n">
        <v>0.365315694913673</v>
      </c>
      <c r="J77" t="n">
        <v>11</v>
      </c>
      <c r="K77" s="49" t="n">
        <v>0.616258152277367</v>
      </c>
      <c r="L77" t="n">
        <v>16</v>
      </c>
      <c r="M77" s="49" t="n">
        <v>0.15249594617142</v>
      </c>
      <c r="N77" s="12" t="n">
        <v>16</v>
      </c>
    </row>
    <row r="78" outlineLevel="1" hidden="0">
      <c r="A78" s="7" t="s">
        <v>15</v>
      </c>
      <c r="B78" t="s">
        <v>128</v>
      </c>
      <c r="C78" s="49" t="n">
        <v>0.884645585482716</v>
      </c>
      <c r="D78" t="n">
        <v>5</v>
      </c>
      <c r="E78" s="49" t="n">
        <v>0.0973446985500802</v>
      </c>
      <c r="F78" t="n">
        <v>5</v>
      </c>
      <c r="G78" s="49" t="n">
        <v>0.798275682139654</v>
      </c>
      <c r="H78" t="n">
        <v>2</v>
      </c>
      <c r="I78" s="49"/>
      <c r="J78"/>
      <c r="K78" s="49" t="n">
        <v>1</v>
      </c>
      <c r="L78" t="n">
        <v>3</v>
      </c>
      <c r="M78" s="49" t="n">
        <v>0.227356893457881</v>
      </c>
      <c r="N78" s="12" t="n">
        <v>3</v>
      </c>
    </row>
    <row r="79" outlineLevel="1" hidden="0">
      <c r="A79" s="7" t="s">
        <v>15</v>
      </c>
      <c r="B79" t="s">
        <v>130</v>
      </c>
      <c r="C79" s="49" t="n">
        <v>0.81713267809749</v>
      </c>
      <c r="D79" t="n">
        <v>52</v>
      </c>
      <c r="E79" s="49" t="n">
        <v>0.442269820268403</v>
      </c>
      <c r="F79" t="n">
        <v>52</v>
      </c>
      <c r="G79" s="49" t="n">
        <v>0.805329201012516</v>
      </c>
      <c r="H79" t="n">
        <v>36</v>
      </c>
      <c r="I79" s="49" t="n">
        <v>0.414631806462533</v>
      </c>
      <c r="J79" t="n">
        <v>36</v>
      </c>
      <c r="K79" s="49" t="n">
        <v>0.85055983917667</v>
      </c>
      <c r="L79" t="n">
        <v>16</v>
      </c>
      <c r="M79" s="49" t="n">
        <v>0.520540005633825</v>
      </c>
      <c r="N79" s="12" t="n">
        <v>16</v>
      </c>
    </row>
    <row r="80" outlineLevel="1" hidden="0">
      <c r="A80" s="7" t="s">
        <v>15</v>
      </c>
      <c r="B80" t="s">
        <v>135</v>
      </c>
      <c r="C80" s="49" t="n">
        <v>0.859819367633205</v>
      </c>
      <c r="D80" t="n">
        <v>9</v>
      </c>
      <c r="E80" s="49" t="n">
        <v>0.60269040426961</v>
      </c>
      <c r="F80" t="n">
        <v>9</v>
      </c>
      <c r="G80" s="49" t="n">
        <v>0.692557701653774</v>
      </c>
      <c r="H80" t="n">
        <v>4</v>
      </c>
      <c r="I80" s="49" t="n">
        <v>0.307442298346227</v>
      </c>
      <c r="J80" t="n">
        <v>4</v>
      </c>
      <c r="K80" s="49" t="n">
        <v>1</v>
      </c>
      <c r="L80" t="n">
        <v>5</v>
      </c>
      <c r="M80" s="49" t="n">
        <v>0.850135423731081</v>
      </c>
      <c r="N80" s="12" t="n">
        <v>5</v>
      </c>
    </row>
    <row r="81" outlineLevel="1" hidden="0">
      <c r="A81" s="7" t="s">
        <v>15</v>
      </c>
      <c r="B81" t="s">
        <v>145</v>
      </c>
      <c r="C81" s="49" t="n">
        <v>0.750158728142382</v>
      </c>
      <c r="D81" t="n">
        <v>31</v>
      </c>
      <c r="E81" s="49" t="n">
        <v>0.221090680300749</v>
      </c>
      <c r="F81" t="n">
        <v>31</v>
      </c>
      <c r="G81" s="49" t="n">
        <v>0.734018966457176</v>
      </c>
      <c r="H81" t="n">
        <v>15</v>
      </c>
      <c r="I81" s="49" t="n">
        <v>0.148768146120003</v>
      </c>
      <c r="J81" t="n">
        <v>15</v>
      </c>
      <c r="K81" s="49" t="n">
        <v>0.764068532858469</v>
      </c>
      <c r="L81" t="n">
        <v>16</v>
      </c>
      <c r="M81" s="49" t="n">
        <v>0.283420741093953</v>
      </c>
      <c r="N81" s="12" t="n">
        <v>16</v>
      </c>
    </row>
    <row r="82" outlineLevel="1" hidden="0">
      <c r="A82" s="7" t="s">
        <v>15</v>
      </c>
      <c r="B82" t="s">
        <v>146</v>
      </c>
      <c r="C82" s="49" t="n">
        <v>1</v>
      </c>
      <c r="D82" t="n">
        <v>1</v>
      </c>
      <c r="E82" s="49" t="n">
        <v>1</v>
      </c>
      <c r="F82" t="n">
        <v>1</v>
      </c>
      <c r="G82" s="49"/>
      <c r="H82"/>
      <c r="I82" s="49"/>
      <c r="J82"/>
      <c r="K82" s="49" t="n">
        <v>1</v>
      </c>
      <c r="L82" t="n">
        <v>1</v>
      </c>
      <c r="M82" s="49" t="n">
        <v>1</v>
      </c>
      <c r="N82" s="12" t="n">
        <v>1</v>
      </c>
    </row>
    <row r="83" outlineLevel="1" hidden="0">
      <c r="A83" s="7" t="s">
        <v>15</v>
      </c>
      <c r="B83" t="s">
        <v>149</v>
      </c>
      <c r="C83" s="49" t="n">
        <v>0.713480119527631</v>
      </c>
      <c r="D83" t="n">
        <v>4</v>
      </c>
      <c r="E83" s="49" t="n">
        <v>0.0614830235458202</v>
      </c>
      <c r="F83" t="n">
        <v>4</v>
      </c>
      <c r="G83" s="49" t="n">
        <v>0.176673880694417</v>
      </c>
      <c r="H83" t="n">
        <v>3</v>
      </c>
      <c r="I83" s="49" t="n">
        <v>0.176673880694417</v>
      </c>
      <c r="J83" t="n">
        <v>3</v>
      </c>
      <c r="K83" s="49" t="n">
        <v>1</v>
      </c>
      <c r="L83" t="n">
        <v>1</v>
      </c>
      <c r="M83" s="49"/>
      <c r="N83" s="12"/>
    </row>
    <row r="84" outlineLevel="1" hidden="0">
      <c r="A84" s="7" t="s">
        <v>15</v>
      </c>
      <c r="B84" t="s">
        <v>150</v>
      </c>
      <c r="C84" s="49" t="n">
        <v>0.0717579674544757</v>
      </c>
      <c r="D84" t="n">
        <v>3</v>
      </c>
      <c r="E84" s="49" t="n">
        <v>0.0717579674544757</v>
      </c>
      <c r="F84" t="n">
        <v>3</v>
      </c>
      <c r="G84" s="49"/>
      <c r="H84"/>
      <c r="I84" s="49"/>
      <c r="J84"/>
      <c r="K84" s="49" t="n">
        <v>0.0980319621797119</v>
      </c>
      <c r="L84" t="n">
        <v>2</v>
      </c>
      <c r="M84" s="49" t="n">
        <v>0.0980319621797119</v>
      </c>
      <c r="N84" s="12" t="n">
        <v>2</v>
      </c>
    </row>
    <row r="85" outlineLevel="1" hidden="0">
      <c r="A85" s="7" t="s">
        <v>15</v>
      </c>
      <c r="B85" t="s">
        <v>151</v>
      </c>
      <c r="C85" s="49" t="n">
        <v>1</v>
      </c>
      <c r="D85" t="n">
        <v>1</v>
      </c>
      <c r="E85" s="49" t="n">
        <v>1</v>
      </c>
      <c r="F85" t="n">
        <v>1</v>
      </c>
      <c r="G85" s="49" t="n">
        <v>1</v>
      </c>
      <c r="H85" t="n">
        <v>1</v>
      </c>
      <c r="I85" s="49" t="n">
        <v>1</v>
      </c>
      <c r="J85" t="n">
        <v>1</v>
      </c>
      <c r="K85" s="49"/>
      <c r="L85"/>
      <c r="M85" s="49"/>
      <c r="N85" s="12"/>
    </row>
    <row r="86" outlineLevel="1" hidden="0">
      <c r="A86" s="7" t="s">
        <v>15</v>
      </c>
      <c r="B86" t="s">
        <v>65</v>
      </c>
      <c r="C86" s="49" t="n">
        <v>1</v>
      </c>
      <c r="D86" t="n">
        <v>2</v>
      </c>
      <c r="E86" s="49" t="n">
        <v>1</v>
      </c>
      <c r="F86" t="n">
        <v>2</v>
      </c>
      <c r="G86" s="49" t="n">
        <v>1</v>
      </c>
      <c r="H86" t="n">
        <v>1</v>
      </c>
      <c r="I86" s="49" t="n">
        <v>1</v>
      </c>
      <c r="J86" t="n">
        <v>1</v>
      </c>
      <c r="K86" s="49" t="n">
        <v>1</v>
      </c>
      <c r="L86" t="n">
        <v>1</v>
      </c>
      <c r="M86" s="49" t="n">
        <v>1</v>
      </c>
      <c r="N86" s="12" t="n">
        <v>1</v>
      </c>
    </row>
    <row r="87" outlineLevel="1" hidden="0">
      <c r="A87" s="7" t="s">
        <v>15</v>
      </c>
      <c r="B87" t="s">
        <v>74</v>
      </c>
      <c r="C87" s="49" t="n">
        <v>1</v>
      </c>
      <c r="D87" t="n">
        <v>2</v>
      </c>
      <c r="E87" s="49" t="n">
        <v>0.5</v>
      </c>
      <c r="F87" t="n">
        <v>2</v>
      </c>
      <c r="G87" s="49" t="n">
        <v>1</v>
      </c>
      <c r="H87" t="n">
        <v>1</v>
      </c>
      <c r="I87" s="49" t="n">
        <v>1</v>
      </c>
      <c r="J87" t="n">
        <v>1</v>
      </c>
      <c r="K87" s="49" t="n">
        <v>1</v>
      </c>
      <c r="L87" t="n">
        <v>1</v>
      </c>
      <c r="M87" s="49"/>
      <c r="N87" s="12"/>
    </row>
    <row r="88" outlineLevel="1" hidden="0">
      <c r="A88" s="7" t="s">
        <v>15</v>
      </c>
      <c r="B88" t="s">
        <v>79</v>
      </c>
      <c r="C88" s="49" t="n">
        <v>1</v>
      </c>
      <c r="D88" t="n">
        <v>1</v>
      </c>
      <c r="E88" s="49" t="n">
        <v>1</v>
      </c>
      <c r="F88" t="n">
        <v>1</v>
      </c>
      <c r="G88" s="49" t="n">
        <v>1</v>
      </c>
      <c r="H88" t="n">
        <v>1</v>
      </c>
      <c r="I88" s="49" t="n">
        <v>1</v>
      </c>
      <c r="J88" t="n">
        <v>1</v>
      </c>
      <c r="K88" s="49"/>
      <c r="L88"/>
      <c r="M88" s="49"/>
      <c r="N88" s="12"/>
    </row>
    <row r="89" outlineLevel="1" hidden="0">
      <c r="A89" s="7" t="s">
        <v>15</v>
      </c>
      <c r="B89" t="s">
        <v>100</v>
      </c>
      <c r="C89" s="49" t="n">
        <v>1</v>
      </c>
      <c r="D89" t="n">
        <v>11</v>
      </c>
      <c r="E89" s="49" t="n">
        <v>0.718539713878281</v>
      </c>
      <c r="F89" t="n">
        <v>11</v>
      </c>
      <c r="G89" s="49" t="n">
        <v>1</v>
      </c>
      <c r="H89" t="n">
        <v>9</v>
      </c>
      <c r="I89" s="49" t="n">
        <v>0.74173139590645</v>
      </c>
      <c r="J89" t="n">
        <v>9</v>
      </c>
      <c r="K89" s="49" t="n">
        <v>1</v>
      </c>
      <c r="L89" t="n">
        <v>2</v>
      </c>
      <c r="M89" s="49" t="n">
        <v>0.5</v>
      </c>
      <c r="N89" s="12" t="n">
        <v>2</v>
      </c>
    </row>
    <row r="90" outlineLevel="1" hidden="0">
      <c r="A90" s="7" t="s">
        <v>15</v>
      </c>
      <c r="B90" t="s">
        <v>102</v>
      </c>
      <c r="C90" s="49" t="n">
        <v>1</v>
      </c>
      <c r="D90" t="n">
        <v>1</v>
      </c>
      <c r="E90" s="49" t="n">
        <v>1</v>
      </c>
      <c r="F90" t="n">
        <v>1</v>
      </c>
      <c r="G90" s="49"/>
      <c r="H90"/>
      <c r="I90" s="49"/>
      <c r="J90"/>
      <c r="K90" s="49" t="n">
        <v>1</v>
      </c>
      <c r="L90" t="n">
        <v>1</v>
      </c>
      <c r="M90" s="49" t="n">
        <v>1</v>
      </c>
      <c r="N90" s="12" t="n">
        <v>1</v>
      </c>
    </row>
    <row r="91" outlineLevel="1" hidden="0">
      <c r="A91" s="7" t="s">
        <v>15</v>
      </c>
      <c r="B91" t="s">
        <v>103</v>
      </c>
      <c r="C91" s="49" t="n">
        <v>1</v>
      </c>
      <c r="D91" t="n">
        <v>2</v>
      </c>
      <c r="E91" s="49" t="n">
        <v>0.363762263240997</v>
      </c>
      <c r="F91" t="n">
        <v>2</v>
      </c>
      <c r="G91" s="49" t="n">
        <v>1</v>
      </c>
      <c r="H91" t="n">
        <v>1</v>
      </c>
      <c r="I91" s="49" t="n">
        <v>1</v>
      </c>
      <c r="J91" t="n">
        <v>1</v>
      </c>
      <c r="K91" s="49" t="n">
        <v>1</v>
      </c>
      <c r="L91" t="n">
        <v>1</v>
      </c>
      <c r="M91" s="49"/>
      <c r="N91" s="12"/>
    </row>
    <row r="92" outlineLevel="1" hidden="0">
      <c r="A92" s="7" t="s">
        <v>15</v>
      </c>
      <c r="B92" t="s">
        <v>105</v>
      </c>
      <c r="C92" s="49" t="n">
        <v>1</v>
      </c>
      <c r="D92" t="n">
        <v>1</v>
      </c>
      <c r="E92" s="49" t="n">
        <v>1</v>
      </c>
      <c r="F92" t="n">
        <v>1</v>
      </c>
      <c r="G92" s="49"/>
      <c r="H92"/>
      <c r="I92" s="49"/>
      <c r="J92"/>
      <c r="K92" s="49" t="n">
        <v>1</v>
      </c>
      <c r="L92" t="n">
        <v>1</v>
      </c>
      <c r="M92" s="49" t="n">
        <v>1</v>
      </c>
      <c r="N92" s="12" t="n">
        <v>1</v>
      </c>
    </row>
    <row r="93" outlineLevel="1" hidden="0">
      <c r="A93" s="7" t="s">
        <v>15</v>
      </c>
      <c r="B93" t="s">
        <v>120</v>
      </c>
      <c r="C93" s="49" t="n">
        <v>1</v>
      </c>
      <c r="D93" t="n">
        <v>2</v>
      </c>
      <c r="E93" s="49" t="n">
        <v>0.5</v>
      </c>
      <c r="F93" t="n">
        <v>2</v>
      </c>
      <c r="G93" s="49" t="n">
        <v>1</v>
      </c>
      <c r="H93" t="n">
        <v>2</v>
      </c>
      <c r="I93" s="49" t="n">
        <v>0.5</v>
      </c>
      <c r="J93" t="n">
        <v>2</v>
      </c>
      <c r="K93" s="49"/>
      <c r="L93"/>
      <c r="M93" s="49"/>
      <c r="N93" s="12"/>
    </row>
    <row r="94" outlineLevel="1" hidden="0">
      <c r="A94" s="7" t="s">
        <v>15</v>
      </c>
      <c r="B94" t="s">
        <v>123</v>
      </c>
      <c r="C94" s="49" t="n">
        <v>1</v>
      </c>
      <c r="D94" t="n">
        <v>4</v>
      </c>
      <c r="E94" s="49" t="n">
        <v>0.204669831745977</v>
      </c>
      <c r="F94" t="n">
        <v>4</v>
      </c>
      <c r="G94" s="49" t="n">
        <v>1</v>
      </c>
      <c r="H94" t="n">
        <v>4</v>
      </c>
      <c r="I94" s="49" t="n">
        <v>0.204669831745977</v>
      </c>
      <c r="J94" t="n">
        <v>4</v>
      </c>
      <c r="K94" s="49"/>
      <c r="L94"/>
      <c r="M94" s="49"/>
      <c r="N94" s="12"/>
    </row>
    <row r="95" outlineLevel="1" hidden="0">
      <c r="A95" s="7" t="s">
        <v>15</v>
      </c>
      <c r="B95" t="s">
        <v>125</v>
      </c>
      <c r="C95" s="49" t="n">
        <v>1</v>
      </c>
      <c r="D95" t="n">
        <v>4</v>
      </c>
      <c r="E95" s="49" t="n">
        <v>0.945657115420885</v>
      </c>
      <c r="F95" t="n">
        <v>4</v>
      </c>
      <c r="G95" s="49" t="n">
        <v>1</v>
      </c>
      <c r="H95" t="n">
        <v>2</v>
      </c>
      <c r="I95" s="49" t="n">
        <v>0.852953236820995</v>
      </c>
      <c r="J95" t="n">
        <v>2</v>
      </c>
      <c r="K95" s="49" t="n">
        <v>1</v>
      </c>
      <c r="L95" t="n">
        <v>2</v>
      </c>
      <c r="M95" s="49" t="n">
        <v>1</v>
      </c>
      <c r="N95" s="12" t="n">
        <v>2</v>
      </c>
    </row>
    <row r="96" outlineLevel="1" hidden="0">
      <c r="A96" s="7" t="s">
        <v>15</v>
      </c>
      <c r="B96" t="s">
        <v>127</v>
      </c>
      <c r="C96" s="49" t="n">
        <v>1</v>
      </c>
      <c r="D96" t="n">
        <v>1</v>
      </c>
      <c r="E96" s="49" t="n">
        <v>1</v>
      </c>
      <c r="F96" t="n">
        <v>1</v>
      </c>
      <c r="G96" s="49"/>
      <c r="H96"/>
      <c r="I96" s="49"/>
      <c r="J96"/>
      <c r="K96" s="49" t="n">
        <v>1</v>
      </c>
      <c r="L96" t="n">
        <v>1</v>
      </c>
      <c r="M96" s="49" t="n">
        <v>1</v>
      </c>
      <c r="N96" s="12" t="n">
        <v>1</v>
      </c>
    </row>
    <row r="97" outlineLevel="1" hidden="0">
      <c r="A97" s="7" t="s">
        <v>15</v>
      </c>
      <c r="B97" t="s">
        <v>131</v>
      </c>
      <c r="C97" s="49" t="n">
        <v>1</v>
      </c>
      <c r="D97" t="n">
        <v>2</v>
      </c>
      <c r="E97" s="49" t="n">
        <v>0.5</v>
      </c>
      <c r="F97" t="n">
        <v>2</v>
      </c>
      <c r="G97" s="49"/>
      <c r="H97"/>
      <c r="I97" s="49"/>
      <c r="J97"/>
      <c r="K97" s="49" t="n">
        <v>1</v>
      </c>
      <c r="L97" t="n">
        <v>2</v>
      </c>
      <c r="M97" s="49" t="n">
        <v>0.5</v>
      </c>
      <c r="N97" s="12" t="n">
        <v>2</v>
      </c>
    </row>
    <row r="98" outlineLevel="1" hidden="0">
      <c r="A98" s="7" t="s">
        <v>15</v>
      </c>
      <c r="B98" t="s">
        <v>132</v>
      </c>
      <c r="C98" s="49" t="n">
        <v>1</v>
      </c>
      <c r="D98" t="n">
        <v>1</v>
      </c>
      <c r="E98" s="49" t="n">
        <v>1</v>
      </c>
      <c r="F98" t="n">
        <v>1</v>
      </c>
      <c r="G98" s="49" t="n">
        <v>1</v>
      </c>
      <c r="H98" t="n">
        <v>1</v>
      </c>
      <c r="I98" s="49" t="n">
        <v>1</v>
      </c>
      <c r="J98" t="n">
        <v>1</v>
      </c>
      <c r="K98" s="49"/>
      <c r="L98"/>
      <c r="M98" s="49"/>
      <c r="N98" s="12"/>
    </row>
    <row r="99" outlineLevel="1" hidden="0">
      <c r="A99" s="7" t="s">
        <v>15</v>
      </c>
      <c r="B99" t="s">
        <v>139</v>
      </c>
      <c r="C99" s="49" t="n">
        <v>1</v>
      </c>
      <c r="D99" t="n">
        <v>1</v>
      </c>
      <c r="E99" s="49" t="n">
        <v>1</v>
      </c>
      <c r="F99" t="n">
        <v>1</v>
      </c>
      <c r="G99" s="49"/>
      <c r="H99"/>
      <c r="I99" s="49"/>
      <c r="J99"/>
      <c r="K99" s="49" t="n">
        <v>1</v>
      </c>
      <c r="L99" t="n">
        <v>1</v>
      </c>
      <c r="M99" s="49" t="n">
        <v>1</v>
      </c>
      <c r="N99" s="12" t="n">
        <v>1</v>
      </c>
    </row>
    <row r="100" outlineLevel="1" hidden="0">
      <c r="A100" s="7" t="s">
        <v>15</v>
      </c>
      <c r="B100" t="s">
        <v>142</v>
      </c>
      <c r="C100" s="49" t="n">
        <v>1</v>
      </c>
      <c r="D100" t="n">
        <v>16</v>
      </c>
      <c r="E100" s="49" t="n">
        <v>0.587718566181122</v>
      </c>
      <c r="F100" t="n">
        <v>16</v>
      </c>
      <c r="G100" s="49" t="n">
        <v>1</v>
      </c>
      <c r="H100" t="n">
        <v>13</v>
      </c>
      <c r="I100" s="49" t="n">
        <v>0.7309079586755</v>
      </c>
      <c r="J100" t="n">
        <v>13</v>
      </c>
      <c r="K100" s="49" t="n">
        <v>1</v>
      </c>
      <c r="L100" t="n">
        <v>3</v>
      </c>
      <c r="M100" s="49"/>
      <c r="N100" s="12"/>
    </row>
    <row r="101" outlineLevel="1" hidden="0">
      <c r="A101" s="7" t="s">
        <v>15</v>
      </c>
      <c r="B101" t="s">
        <v>152</v>
      </c>
      <c r="C101" s="49" t="n">
        <v>1</v>
      </c>
      <c r="D101" t="n">
        <v>2</v>
      </c>
      <c r="E101" s="49" t="n">
        <v>1</v>
      </c>
      <c r="F101" t="n">
        <v>2</v>
      </c>
      <c r="G101" s="49" t="n">
        <v>1</v>
      </c>
      <c r="H101" t="n">
        <v>2</v>
      </c>
      <c r="I101" s="49" t="n">
        <v>1</v>
      </c>
      <c r="J101" t="n">
        <v>2</v>
      </c>
      <c r="K101" s="49"/>
      <c r="L101"/>
      <c r="M101" s="49"/>
      <c r="N101" s="12"/>
    </row>
    <row r="102" outlineLevel="1" hidden="0">
      <c r="A102" s="7" t="s">
        <v>15</v>
      </c>
      <c r="B102" t="s">
        <v>64</v>
      </c>
      <c r="C102" s="49" t="n">
        <v>1</v>
      </c>
      <c r="D102" t="n">
        <v>2</v>
      </c>
      <c r="E102" s="49"/>
      <c r="F102"/>
      <c r="G102" s="49" t="n">
        <v>1</v>
      </c>
      <c r="H102" t="n">
        <v>1</v>
      </c>
      <c r="I102" s="49"/>
      <c r="J102"/>
      <c r="K102" s="49" t="n">
        <v>1</v>
      </c>
      <c r="L102" t="n">
        <v>1</v>
      </c>
      <c r="M102" s="49"/>
      <c r="N102" s="12"/>
    </row>
    <row r="103" outlineLevel="1" hidden="0">
      <c r="A103" s="7" t="s">
        <v>15</v>
      </c>
      <c r="B103" t="s">
        <v>66</v>
      </c>
      <c r="C103" s="49" t="n">
        <v>1</v>
      </c>
      <c r="D103" t="n">
        <v>1</v>
      </c>
      <c r="E103" s="49"/>
      <c r="F103"/>
      <c r="G103" s="49"/>
      <c r="H103"/>
      <c r="I103" s="49"/>
      <c r="J103"/>
      <c r="K103" s="49" t="n">
        <v>1</v>
      </c>
      <c r="L103" t="n">
        <v>1</v>
      </c>
      <c r="M103" s="49"/>
      <c r="N103" s="12"/>
    </row>
    <row r="104" outlineLevel="1" hidden="0">
      <c r="A104" s="7" t="s">
        <v>15</v>
      </c>
      <c r="B104" t="s">
        <v>68</v>
      </c>
      <c r="C104" s="49" t="n">
        <v>1</v>
      </c>
      <c r="D104" t="n">
        <v>1</v>
      </c>
      <c r="E104" s="49"/>
      <c r="F104"/>
      <c r="G104" s="49" t="n">
        <v>1</v>
      </c>
      <c r="H104" t="n">
        <v>1</v>
      </c>
      <c r="I104" s="49"/>
      <c r="J104"/>
      <c r="K104" s="49"/>
      <c r="L104"/>
      <c r="M104" s="49"/>
      <c r="N104" s="12"/>
    </row>
    <row r="105" outlineLevel="1" hidden="0">
      <c r="A105" s="7" t="s">
        <v>15</v>
      </c>
      <c r="B105" t="s">
        <v>70</v>
      </c>
      <c r="C105" s="49" t="n">
        <v>1</v>
      </c>
      <c r="D105" t="n">
        <v>1</v>
      </c>
      <c r="E105" s="49"/>
      <c r="F105"/>
      <c r="G105" s="49"/>
      <c r="H105"/>
      <c r="I105" s="49"/>
      <c r="J105"/>
      <c r="K105" s="49" t="n">
        <v>1</v>
      </c>
      <c r="L105" t="n">
        <v>1</v>
      </c>
      <c r="M105" s="49"/>
      <c r="N105" s="12"/>
    </row>
    <row r="106" outlineLevel="1" hidden="0">
      <c r="A106" s="7" t="s">
        <v>15</v>
      </c>
      <c r="B106" t="s">
        <v>77</v>
      </c>
      <c r="C106" s="49" t="n">
        <v>1</v>
      </c>
      <c r="D106" t="n">
        <v>1</v>
      </c>
      <c r="E106" s="49"/>
      <c r="F106"/>
      <c r="G106" s="49"/>
      <c r="H106"/>
      <c r="I106" s="49"/>
      <c r="J106"/>
      <c r="K106" s="49" t="n">
        <v>1</v>
      </c>
      <c r="L106" t="n">
        <v>1</v>
      </c>
      <c r="M106" s="49"/>
      <c r="N106" s="12"/>
    </row>
    <row r="107" outlineLevel="1" hidden="0">
      <c r="A107" s="7" t="s">
        <v>15</v>
      </c>
      <c r="B107" t="s">
        <v>83</v>
      </c>
      <c r="C107" s="49" t="n">
        <v>1</v>
      </c>
      <c r="D107" t="n">
        <v>2</v>
      </c>
      <c r="E107" s="49"/>
      <c r="F107"/>
      <c r="G107" s="49"/>
      <c r="H107"/>
      <c r="I107" s="49"/>
      <c r="J107"/>
      <c r="K107" s="49" t="n">
        <v>1</v>
      </c>
      <c r="L107" t="n">
        <v>2</v>
      </c>
      <c r="M107" s="49"/>
      <c r="N107" s="12"/>
    </row>
    <row r="108" outlineLevel="1" hidden="0">
      <c r="A108" s="7" t="s">
        <v>15</v>
      </c>
      <c r="B108" t="s">
        <v>84</v>
      </c>
      <c r="C108" s="49" t="n">
        <v>1</v>
      </c>
      <c r="D108" t="n">
        <v>1</v>
      </c>
      <c r="E108" s="49"/>
      <c r="F108"/>
      <c r="G108" s="49"/>
      <c r="H108"/>
      <c r="I108" s="49"/>
      <c r="J108"/>
      <c r="K108" s="49" t="n">
        <v>1</v>
      </c>
      <c r="L108" t="n">
        <v>1</v>
      </c>
      <c r="M108" s="49"/>
      <c r="N108" s="12"/>
    </row>
    <row r="109" outlineLevel="1" hidden="0">
      <c r="A109" s="7" t="s">
        <v>15</v>
      </c>
      <c r="B109" t="s">
        <v>85</v>
      </c>
      <c r="C109" s="49" t="n">
        <v>1</v>
      </c>
      <c r="D109" t="n">
        <v>1</v>
      </c>
      <c r="E109" s="49"/>
      <c r="F109"/>
      <c r="G109" s="49"/>
      <c r="H109"/>
      <c r="I109" s="49"/>
      <c r="J109"/>
      <c r="K109" s="49" t="n">
        <v>1</v>
      </c>
      <c r="L109" t="n">
        <v>1</v>
      </c>
      <c r="M109" s="49"/>
      <c r="N109" s="12"/>
    </row>
    <row r="110" outlineLevel="1" hidden="0">
      <c r="A110" s="7" t="s">
        <v>15</v>
      </c>
      <c r="B110" t="s">
        <v>92</v>
      </c>
      <c r="C110" s="49" t="n">
        <v>1</v>
      </c>
      <c r="D110" t="n">
        <v>2</v>
      </c>
      <c r="E110" s="49"/>
      <c r="F110"/>
      <c r="G110" s="49" t="n">
        <v>1</v>
      </c>
      <c r="H110" t="n">
        <v>1</v>
      </c>
      <c r="I110" s="49"/>
      <c r="J110"/>
      <c r="K110" s="49" t="n">
        <v>1</v>
      </c>
      <c r="L110" t="n">
        <v>1</v>
      </c>
      <c r="M110" s="49"/>
      <c r="N110" s="12"/>
    </row>
    <row r="111" outlineLevel="1" hidden="0">
      <c r="A111" s="7" t="s">
        <v>15</v>
      </c>
      <c r="B111" t="s">
        <v>134</v>
      </c>
      <c r="C111" s="49" t="n">
        <v>1</v>
      </c>
      <c r="D111" t="n">
        <v>1</v>
      </c>
      <c r="E111" s="49"/>
      <c r="F111"/>
      <c r="G111" s="49" t="n">
        <v>1</v>
      </c>
      <c r="H111" t="n">
        <v>1</v>
      </c>
      <c r="I111" s="49"/>
      <c r="J111"/>
      <c r="K111" s="49"/>
      <c r="L111"/>
      <c r="M111" s="49"/>
      <c r="N111" s="12"/>
    </row>
    <row r="112" outlineLevel="1" hidden="0">
      <c r="A112" s="7" t="s">
        <v>15</v>
      </c>
      <c r="B112" t="s">
        <v>143</v>
      </c>
      <c r="C112" s="49" t="n">
        <v>1</v>
      </c>
      <c r="D112" t="n">
        <v>1</v>
      </c>
      <c r="E112" s="49"/>
      <c r="F112"/>
      <c r="G112" s="49" t="n">
        <v>1</v>
      </c>
      <c r="H112" t="n">
        <v>1</v>
      </c>
      <c r="I112" s="49"/>
      <c r="J112"/>
      <c r="K112" s="49"/>
      <c r="L112"/>
      <c r="M112" s="49"/>
      <c r="N112" s="12"/>
    </row>
    <row r="113" outlineLevel="1" hidden="0">
      <c r="A113" s="8" t="s">
        <v>15</v>
      </c>
      <c r="B113" s="10" t="s">
        <v>144</v>
      </c>
      <c r="C113" s="48" t="n">
        <v>1</v>
      </c>
      <c r="D113" s="10" t="n">
        <v>1</v>
      </c>
      <c r="E113" s="48"/>
      <c r="F113" s="10"/>
      <c r="G113" s="48"/>
      <c r="H113" s="10"/>
      <c r="I113" s="48"/>
      <c r="J113" s="10"/>
      <c r="K113" s="48" t="n">
        <v>1</v>
      </c>
      <c r="L113" s="10" t="n">
        <v>1</v>
      </c>
      <c r="M113" s="48"/>
      <c r="N113" s="13"/>
    </row>
    <row r="114">
      <c r="C114" s="49"/>
      <c r="E114" s="49"/>
      <c r="G114" s="49"/>
      <c r="I114" s="49"/>
      <c r="K114" s="49"/>
      <c r="M114" s="49"/>
    </row>
    <row r="115">
      <c r="C115" s="49"/>
      <c r="E115" s="49"/>
      <c r="G115" s="49"/>
      <c r="I115" s="49"/>
      <c r="K115" s="49"/>
      <c r="M115" s="49"/>
    </row>
  </sheetData>
  <mergeCells count="18">
    <mergeCell ref="A1:N1"/>
    <mergeCell ref="C2:F2"/>
    <mergeCell ref="G2:J2"/>
    <mergeCell ref="K2:N2"/>
    <mergeCell ref="E3:F3"/>
    <mergeCell ref="I3:J3"/>
    <mergeCell ref="M3:N3"/>
    <mergeCell ref="E4:F4"/>
    <mergeCell ref="C4:D4"/>
    <mergeCell ref="I4:J4"/>
    <mergeCell ref="G4:H4"/>
    <mergeCell ref="M4:N4"/>
    <mergeCell ref="K4:L4"/>
    <mergeCell ref="A6:N6"/>
    <mergeCell ref="A9:N9"/>
    <mergeCell ref="A14:N14"/>
    <mergeCell ref="A26:N26"/>
    <mergeCell ref="A48:N48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education_results</dc:creator>
  <cp:lastModifiedBy>education_results</cp:lastModifiedBy>
  <dcterms:created xsi:type="dcterms:W3CDTF">2024-10-30T14:20:43Z</dcterms:created>
</coreProperties>
</file>